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0" documentId="8_{F4DBF49F-CAB2-44AC-948A-C1652D57C382}" xr6:coauthVersionLast="47" xr6:coauthVersionMax="47" xr10:uidLastSave="{00000000-0000-0000-0000-000000000000}"/>
  <bookViews>
    <workbookView xWindow="-108" yWindow="-108" windowWidth="23256" windowHeight="12456" xr2:uid="{D89FF4B1-BDB9-451C-A8B5-789983F41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1" l="1"/>
  <c r="N10" i="1"/>
  <c r="M10" i="1"/>
  <c r="L10" i="1"/>
  <c r="K10" i="1"/>
  <c r="J10" i="1"/>
  <c r="I10" i="1"/>
  <c r="H10" i="1"/>
  <c r="G10" i="1"/>
  <c r="N9" i="1"/>
  <c r="M9" i="1"/>
  <c r="L9" i="1"/>
  <c r="K9" i="1"/>
  <c r="J9" i="1"/>
  <c r="I9" i="1"/>
  <c r="H9" i="1"/>
  <c r="G9" i="1"/>
  <c r="N8" i="1"/>
  <c r="M8" i="1"/>
  <c r="L8" i="1"/>
  <c r="K8" i="1"/>
  <c r="J8" i="1"/>
  <c r="I8" i="1"/>
  <c r="H8" i="1"/>
  <c r="G8" i="1"/>
  <c r="N7" i="1"/>
  <c r="M7" i="1"/>
  <c r="L7" i="1"/>
  <c r="K7" i="1"/>
  <c r="J7" i="1"/>
  <c r="I7" i="1"/>
  <c r="H7" i="1"/>
  <c r="G7" i="1"/>
  <c r="N6" i="1"/>
  <c r="M6" i="1"/>
  <c r="L6" i="1"/>
  <c r="K6" i="1"/>
  <c r="J6" i="1"/>
  <c r="I6" i="1"/>
  <c r="H6" i="1"/>
  <c r="G6" i="1"/>
  <c r="N5" i="1"/>
  <c r="M5" i="1"/>
  <c r="L5" i="1"/>
  <c r="K5" i="1"/>
  <c r="J5" i="1"/>
  <c r="I5" i="1"/>
  <c r="H5" i="1"/>
  <c r="G5" i="1"/>
</calcChain>
</file>

<file path=xl/sharedStrings.xml><?xml version="1.0" encoding="utf-8"?>
<sst xmlns="http://schemas.openxmlformats.org/spreadsheetml/2006/main" count="36" uniqueCount="33">
  <si>
    <t>ProductID</t>
  </si>
  <si>
    <t>Product</t>
  </si>
  <si>
    <t>Sales</t>
  </si>
  <si>
    <t>Target</t>
  </si>
  <si>
    <t>Region</t>
  </si>
  <si>
    <t>Target Status</t>
  </si>
  <si>
    <t>Regional Bonus</t>
  </si>
  <si>
    <t>Commission</t>
  </si>
  <si>
    <t>Bonus Amount</t>
  </si>
  <si>
    <t>Performance</t>
  </si>
  <si>
    <t>Price Tier</t>
  </si>
  <si>
    <t>Year-End Bonus</t>
  </si>
  <si>
    <t>High Performer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</si>
  <si>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</si>
  <si>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</si>
  <si>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</si>
  <si>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</si>
  <si>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</si>
  <si>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</si>
  <si>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</si>
  <si>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</si>
  <si>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</si>
  <si>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Sales%</t>
  </si>
  <si>
    <t>Product F</t>
  </si>
  <si>
    <t>QUESTION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</si>
  <si>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</si>
  <si>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</si>
  <si>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</si>
  <si>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</si>
  <si>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(&lt;150).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</si>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</sst>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0" xfId="1" applyNumberFormat="1" applyFont="1"/>
    <xf numFmtId="1" fontId="0" fillId="0" borderId="0" xfId="1" applyNumberFormat="1" applyFont="1"/>
    <xf numFmtId="10" fontId="2" fillId="0" borderId="0" xfId="0" applyNumberFormat="1" applyFont="1"/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11" borderId="1" xfId="0" applyFill="1" applyBorder="1"/>
    <xf numFmtId="0" fontId="0" fillId="2" borderId="1" xfId="0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78B9-5531-4F15-9657-7C0F605C5C52}">
  <dimension ref="A4:U27"/>
  <sheetViews>
    <sheetView tabSelected="1" workbookViewId="0">
      <selection activeCell="J5" sqref="J5"/>
    </sheetView>
  </sheetViews>
  <sheetFormatPr defaultRowHeight="14.4" x14ac:dyDescent="0.3"/>
  <cols>
    <col min="1" max="1" width="9.109375" bestFit="1" customWidth="1"/>
    <col min="2" max="2" width="9" bestFit="1" customWidth="1"/>
    <col min="3" max="3" width="5.109375" bestFit="1" customWidth="1"/>
    <col min="4" max="4" width="6.21875" bestFit="1" customWidth="1"/>
    <col min="5" max="5" width="6.5546875" customWidth="1"/>
    <col min="6" max="6" width="5.33203125" customWidth="1"/>
    <col min="7" max="7" width="17.88671875" bestFit="1" customWidth="1"/>
    <col min="8" max="8" width="13.5546875" bestFit="1" customWidth="1"/>
    <col min="9" max="9" width="10.88671875" bestFit="1" customWidth="1"/>
    <col min="10" max="10" width="12.88671875" bestFit="1" customWidth="1"/>
    <col min="11" max="11" width="17.77734375" bestFit="1" customWidth="1"/>
    <col min="12" max="12" width="8.5546875" bestFit="1" customWidth="1"/>
    <col min="13" max="13" width="13.88671875" bestFit="1" customWidth="1"/>
    <col min="14" max="14" width="13.44140625" bestFit="1" customWidth="1"/>
    <col min="17" max="17" width="10.109375" bestFit="1" customWidth="1"/>
  </cols>
  <sheetData>
    <row r="4" spans="1:2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G4" s="2" t="s">
        <v>5</v>
      </c>
      <c r="H4" s="3" t="s">
        <v>6</v>
      </c>
      <c r="I4" s="4" t="s">
        <v>7</v>
      </c>
      <c r="J4" s="17" t="s">
        <v>8</v>
      </c>
      <c r="K4" s="5" t="s">
        <v>9</v>
      </c>
      <c r="L4" s="6" t="s">
        <v>10</v>
      </c>
      <c r="M4" s="7" t="s">
        <v>11</v>
      </c>
      <c r="N4" s="8" t="s">
        <v>12</v>
      </c>
    </row>
    <row r="5" spans="1:21" x14ac:dyDescent="0.3">
      <c r="A5" s="9">
        <v>101</v>
      </c>
      <c r="B5" s="9" t="s">
        <v>13</v>
      </c>
      <c r="C5" s="9">
        <v>120</v>
      </c>
      <c r="D5" s="9">
        <v>150</v>
      </c>
      <c r="E5" s="9" t="s">
        <v>14</v>
      </c>
      <c r="G5" s="9" t="str">
        <f t="shared" ref="G5:G10" si="0">IF(C5&gt;=D5,"Met Target","Did Not Meet Target")</f>
        <v>Did Not Meet Target</v>
      </c>
      <c r="H5" s="9" t="str">
        <f t="shared" ref="H5:H10" si="1">IF(AND(E5="North",C5&gt;200),"Eligible","Not Eligible")</f>
        <v>Not Eligible</v>
      </c>
      <c r="I5" s="10">
        <f t="shared" ref="I5:I10" si="2">IF(C5&gt;=200,10%,IF(C5&gt;=150,7%,5%))</f>
        <v>0.05</v>
      </c>
      <c r="J5" s="10">
        <f t="shared" ref="J5:J10" si="3">IF(C5&gt;=D5,C5*10%,C5*5%)</f>
        <v>6</v>
      </c>
      <c r="K5" s="9" t="str">
        <f t="shared" ref="K5:K10" si="4">IF(C5&gt;=200,"Excellent",IF(C5&gt;=150,"Good","Needs Improvement"))</f>
        <v>Needs Improvement</v>
      </c>
      <c r="L5" s="9" t="str">
        <f t="shared" ref="L5:L10" si="5">IF(C5&gt;200,"High",IF(C5&gt;=100,"Medium","Low"))</f>
        <v>Medium</v>
      </c>
      <c r="M5" s="10">
        <f t="shared" ref="M5:M10" si="6">IF(AND(C5&gt;=150,E5="North"),500,300)</f>
        <v>300</v>
      </c>
      <c r="N5" s="10" t="str">
        <f>IF(C5&gt;=P10,"Yes","No")</f>
        <v>No</v>
      </c>
    </row>
    <row r="6" spans="1:21" x14ac:dyDescent="0.3">
      <c r="A6" s="9">
        <v>102</v>
      </c>
      <c r="B6" s="9" t="s">
        <v>15</v>
      </c>
      <c r="C6" s="9">
        <v>150</v>
      </c>
      <c r="D6" s="9">
        <v>140</v>
      </c>
      <c r="E6" s="9" t="s">
        <v>16</v>
      </c>
      <c r="G6" s="9" t="str">
        <f t="shared" si="0"/>
        <v>Met Target</v>
      </c>
      <c r="H6" s="9" t="str">
        <f t="shared" si="1"/>
        <v>Not Eligible</v>
      </c>
      <c r="I6" s="10">
        <f t="shared" si="2"/>
        <v>7.0000000000000007E-2</v>
      </c>
      <c r="J6" s="10">
        <f t="shared" si="3"/>
        <v>15</v>
      </c>
      <c r="K6" s="9" t="str">
        <f t="shared" si="4"/>
        <v>Good</v>
      </c>
      <c r="L6" s="9" t="str">
        <f t="shared" si="5"/>
        <v>Medium</v>
      </c>
      <c r="M6" s="10">
        <f t="shared" si="6"/>
        <v>300</v>
      </c>
      <c r="N6" s="10" t="str">
        <f t="shared" ref="N6:N10" si="7">IF(C6&gt;P11,"Yes","No")</f>
        <v>Yes</v>
      </c>
    </row>
    <row r="7" spans="1:21" x14ac:dyDescent="0.3">
      <c r="A7" s="9">
        <v>103</v>
      </c>
      <c r="B7" s="9" t="s">
        <v>17</v>
      </c>
      <c r="C7" s="9">
        <v>200</v>
      </c>
      <c r="D7" s="9">
        <v>200</v>
      </c>
      <c r="E7" s="9" t="s">
        <v>18</v>
      </c>
      <c r="G7" s="9" t="str">
        <f t="shared" si="0"/>
        <v>Met Target</v>
      </c>
      <c r="H7" s="9" t="str">
        <f t="shared" si="1"/>
        <v>Not Eligible</v>
      </c>
      <c r="I7" s="10">
        <f t="shared" si="2"/>
        <v>0.1</v>
      </c>
      <c r="J7" s="10">
        <f t="shared" si="3"/>
        <v>20</v>
      </c>
      <c r="K7" s="9" t="str">
        <f t="shared" si="4"/>
        <v>Excellent</v>
      </c>
      <c r="L7" s="9" t="str">
        <f t="shared" si="5"/>
        <v>Medium</v>
      </c>
      <c r="M7" s="10">
        <f t="shared" si="6"/>
        <v>300</v>
      </c>
      <c r="N7" s="10" t="str">
        <f t="shared" si="7"/>
        <v>Yes</v>
      </c>
      <c r="P7" s="11"/>
    </row>
    <row r="8" spans="1:21" x14ac:dyDescent="0.3">
      <c r="A8" s="9">
        <v>104</v>
      </c>
      <c r="B8" s="9" t="s">
        <v>19</v>
      </c>
      <c r="C8" s="9">
        <v>90</v>
      </c>
      <c r="D8" s="9">
        <v>100</v>
      </c>
      <c r="E8" s="9" t="s">
        <v>20</v>
      </c>
      <c r="G8" s="9" t="str">
        <f t="shared" si="0"/>
        <v>Did Not Meet Target</v>
      </c>
      <c r="H8" s="9" t="str">
        <f t="shared" si="1"/>
        <v>Not Eligible</v>
      </c>
      <c r="I8" s="10">
        <f t="shared" si="2"/>
        <v>0.05</v>
      </c>
      <c r="J8" s="10">
        <f t="shared" si="3"/>
        <v>4.5</v>
      </c>
      <c r="K8" s="9" t="str">
        <f t="shared" si="4"/>
        <v>Needs Improvement</v>
      </c>
      <c r="L8" s="9" t="str">
        <f t="shared" si="5"/>
        <v>Low</v>
      </c>
      <c r="M8" s="10">
        <f t="shared" si="6"/>
        <v>300</v>
      </c>
      <c r="N8" s="10" t="str">
        <f t="shared" si="7"/>
        <v>Yes</v>
      </c>
    </row>
    <row r="9" spans="1:21" x14ac:dyDescent="0.3">
      <c r="A9" s="9">
        <v>105</v>
      </c>
      <c r="B9" s="9" t="s">
        <v>21</v>
      </c>
      <c r="C9" s="9">
        <v>220</v>
      </c>
      <c r="D9" s="9">
        <v>210</v>
      </c>
      <c r="E9" s="9" t="s">
        <v>14</v>
      </c>
      <c r="G9" s="9" t="str">
        <f t="shared" si="0"/>
        <v>Met Target</v>
      </c>
      <c r="H9" s="9" t="str">
        <f t="shared" si="1"/>
        <v>Eligible</v>
      </c>
      <c r="I9" s="10">
        <f t="shared" si="2"/>
        <v>0.1</v>
      </c>
      <c r="J9" s="10">
        <f t="shared" si="3"/>
        <v>22</v>
      </c>
      <c r="K9" s="9" t="str">
        <f t="shared" si="4"/>
        <v>Excellent</v>
      </c>
      <c r="L9" s="9" t="str">
        <f t="shared" si="5"/>
        <v>High</v>
      </c>
      <c r="M9" s="10">
        <f t="shared" si="6"/>
        <v>500</v>
      </c>
      <c r="N9" s="10" t="str">
        <f t="shared" si="7"/>
        <v>Yes</v>
      </c>
      <c r="O9" s="1" t="s">
        <v>2</v>
      </c>
      <c r="P9" t="s">
        <v>22</v>
      </c>
    </row>
    <row r="10" spans="1:21" x14ac:dyDescent="0.3">
      <c r="A10" s="9">
        <v>106</v>
      </c>
      <c r="B10" s="9" t="s">
        <v>23</v>
      </c>
      <c r="C10" s="9">
        <v>130</v>
      </c>
      <c r="D10" s="9">
        <v>160</v>
      </c>
      <c r="E10" s="9" t="s">
        <v>16</v>
      </c>
      <c r="G10" s="9" t="str">
        <f t="shared" si="0"/>
        <v>Did Not Meet Target</v>
      </c>
      <c r="H10" s="9" t="str">
        <f t="shared" si="1"/>
        <v>Not Eligible</v>
      </c>
      <c r="I10" s="10">
        <f t="shared" si="2"/>
        <v>0.05</v>
      </c>
      <c r="J10" s="10">
        <f t="shared" si="3"/>
        <v>6.5</v>
      </c>
      <c r="K10" s="9" t="str">
        <f t="shared" si="4"/>
        <v>Needs Improvement</v>
      </c>
      <c r="L10" s="9" t="str">
        <f t="shared" si="5"/>
        <v>Medium</v>
      </c>
      <c r="M10" s="10">
        <f t="shared" si="6"/>
        <v>300</v>
      </c>
      <c r="N10" s="10" t="str">
        <f t="shared" si="7"/>
        <v>Yes</v>
      </c>
      <c r="O10" s="9">
        <v>120</v>
      </c>
      <c r="P10">
        <f>PERCENTILE($C$5:$C$10,0.75)</f>
        <v>187.5</v>
      </c>
    </row>
    <row r="11" spans="1:21" x14ac:dyDescent="0.3">
      <c r="O11" s="9">
        <v>150</v>
      </c>
    </row>
    <row r="12" spans="1:21" x14ac:dyDescent="0.3">
      <c r="O12" s="9">
        <v>200</v>
      </c>
      <c r="Q12" s="12"/>
      <c r="R12" s="12"/>
      <c r="U12" s="13"/>
    </row>
    <row r="13" spans="1:21" x14ac:dyDescent="0.3">
      <c r="O13" s="9">
        <v>90</v>
      </c>
      <c r="Q13" s="12"/>
      <c r="U13" s="13"/>
    </row>
    <row r="14" spans="1:21" x14ac:dyDescent="0.3">
      <c r="O14" s="9">
        <v>220</v>
      </c>
      <c r="Q14" s="12"/>
      <c r="U14" s="13"/>
    </row>
    <row r="15" spans="1:21" x14ac:dyDescent="0.3">
      <c r="O15" s="9">
        <v>130</v>
      </c>
      <c r="Q15" s="12"/>
      <c r="U15" s="13"/>
    </row>
    <row r="16" spans="1:21" x14ac:dyDescent="0.3">
      <c r="Q16" s="12"/>
      <c r="U16" s="13"/>
    </row>
    <row r="17" spans="1:21" x14ac:dyDescent="0.3">
      <c r="U17" s="13"/>
    </row>
    <row r="18" spans="1:21" x14ac:dyDescent="0.3">
      <c r="T18" s="13"/>
    </row>
    <row r="19" spans="1:21" x14ac:dyDescent="0.3">
      <c r="A19" s="14" t="s">
        <v>24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21" x14ac:dyDescent="0.3">
      <c r="A20" s="15" t="s">
        <v>25</v>
      </c>
      <c r="B20" s="9"/>
      <c r="C20" s="9"/>
      <c r="D20" s="9"/>
      <c r="E20" s="9"/>
      <c r="F20" s="9"/>
      <c r="G20" s="9"/>
      <c r="H20" s="9"/>
      <c r="I20" s="16"/>
      <c r="J20" s="16"/>
      <c r="K20" s="16"/>
      <c r="L20" s="16"/>
      <c r="M20" s="16"/>
      <c r="N20" s="16"/>
      <c r="O20" s="16"/>
      <c r="P20" s="16"/>
    </row>
    <row r="21" spans="1:21" x14ac:dyDescent="0.3">
      <c r="A21" s="15" t="s">
        <v>26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6"/>
      <c r="N21" s="16"/>
      <c r="O21" s="16"/>
      <c r="P21" s="16"/>
    </row>
    <row r="22" spans="1:21" x14ac:dyDescent="0.3">
      <c r="A22" s="15" t="s">
        <v>27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21" x14ac:dyDescent="0.3">
      <c r="A23" s="15" t="s">
        <v>28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16"/>
      <c r="M23" s="16"/>
      <c r="N23" s="16"/>
      <c r="O23" s="16"/>
      <c r="P23" s="16"/>
    </row>
    <row r="24" spans="1:21" x14ac:dyDescent="0.3">
      <c r="A24" s="15" t="s">
        <v>29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16"/>
      <c r="M24" s="16"/>
      <c r="N24" s="16"/>
      <c r="O24" s="16"/>
      <c r="P24" s="16"/>
    </row>
    <row r="25" spans="1:21" x14ac:dyDescent="0.3">
      <c r="A25" s="15" t="s">
        <v>30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6"/>
      <c r="O25" s="16"/>
      <c r="P25" s="16"/>
    </row>
    <row r="26" spans="1:21" x14ac:dyDescent="0.3">
      <c r="A26" s="15" t="s">
        <v>31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16"/>
      <c r="M26" s="16"/>
      <c r="N26" s="16"/>
      <c r="O26" s="16"/>
      <c r="P26" s="16"/>
    </row>
    <row r="27" spans="1:21" x14ac:dyDescent="0.3">
      <c r="A27" s="15" t="s">
        <v>32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16"/>
      <c r="M27" s="16"/>
      <c r="N27" s="16"/>
      <c r="O27" s="16"/>
      <c r="P27" s="16"/>
    </row>
  </sheetData>
  <mergeCells count="1">
    <mergeCell ref="A19:P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2026-02-27T15:15:58Z</dcterms:created>
  <dcterms:modified xsi:type="dcterms:W3CDTF">2026-02-27T15:19:05Z</dcterms:modified>
</cp:coreProperties>
</file>