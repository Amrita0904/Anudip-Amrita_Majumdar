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946aadce5fdbd82/Desktop/Anudip/LMS_LAB/"/>
    </mc:Choice>
  </mc:AlternateContent>
  <xr:revisionPtr revIDLastSave="357" documentId="8_{5B0D0323-FDC1-44FA-B3A7-14E98D792114}" xr6:coauthVersionLast="47" xr6:coauthVersionMax="47" xr10:uidLastSave="{FBE856CD-162C-4E2E-B1AC-F6BEE88E9681}"/>
  <bookViews>
    <workbookView xWindow="-108" yWindow="-108" windowWidth="23256" windowHeight="12456" xr2:uid="{FEBB0109-2393-4E58-B146-C2C5D14012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" i="1" l="1"/>
  <c r="U31" i="1"/>
  <c r="U38" i="1" a="1"/>
  <c r="U38" i="1" s="1"/>
  <c r="U25" i="1"/>
  <c r="I21" i="1"/>
  <c r="L29" i="1" a="1"/>
  <c r="L29" i="1" s="1"/>
  <c r="P37" i="1" a="1"/>
  <c r="P37" i="1" s="1"/>
  <c r="P30" i="1" a="1"/>
  <c r="P30" i="1" s="1"/>
  <c r="I11" i="1"/>
  <c r="L24" i="1"/>
  <c r="P24" i="1" a="1"/>
  <c r="P24" i="1" s="1"/>
  <c r="L25" i="1"/>
  <c r="L26" i="1"/>
  <c r="L27" i="1"/>
  <c r="L2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<sst xmlns="http://schemas.openxmlformats.org/spreadsheetml/2006/main" count="68" uniqueCount="36">
  <si>
    <t>Product</t>
  </si>
  <si>
    <t>Jan</t>
  </si>
  <si>
    <t>Feb</t>
  </si>
  <si>
    <t>Mar</t>
  </si>
  <si>
    <t>Apr</t>
  </si>
  <si>
    <t>May</t>
  </si>
  <si>
    <t>Product A</t>
  </si>
  <si>
    <t>Product B</t>
  </si>
  <si>
    <t>Product C</t>
  </si>
  <si>
    <t>Product D</t>
  </si>
  <si>
    <t>Product E</t>
  </si>
  <si>
    <t>Product F</t>
  </si>
  <si>
    <t xml:space="preserve">Worksheet: SalesData </t>
  </si>
  <si>
    <t>Sales in March</t>
  </si>
  <si>
    <t>Sales in May</t>
  </si>
  <si>
    <t xml:space="preserve">Product E Total sales   </t>
  </si>
  <si>
    <t>Sales in February</t>
  </si>
  <si>
    <t>QUESTION</t>
  </si>
  <si>
    <t>TOTAL</t>
  </si>
  <si>
    <t xml:space="preserve">maximum sales value for Product B </t>
  </si>
  <si>
    <t>average sales value for Product E</t>
  </si>
  <si>
    <t>QUESTION 1.</t>
  </si>
  <si>
    <t>QUESTION 2.</t>
  </si>
  <si>
    <t>QUESTION 3.</t>
  </si>
  <si>
    <t>QUESTION 4.</t>
  </si>
  <si>
    <t>QUESTION 5.</t>
  </si>
  <si>
    <t>QUESTION 6.</t>
  </si>
  <si>
    <t>QUESTION 7.</t>
  </si>
  <si>
    <r>
      <t xml:space="preserve"> Use HLOOKUP to find the sales for </t>
    </r>
    <r>
      <rPr>
        <b/>
        <sz val="11"/>
        <color theme="1"/>
        <rFont val="Calibri"/>
        <family val="2"/>
        <scheme val="minor"/>
      </rPr>
      <t>Product A</t>
    </r>
    <r>
      <rPr>
        <sz val="11"/>
        <color theme="1"/>
        <rFont val="Calibri"/>
        <family val="2"/>
        <scheme val="minor"/>
      </rPr>
      <t xml:space="preserve"> in </t>
    </r>
    <r>
      <rPr>
        <b/>
        <sz val="11"/>
        <color theme="1"/>
        <rFont val="Calibri"/>
        <family val="2"/>
        <scheme val="minor"/>
      </rPr>
      <t>March</t>
    </r>
    <r>
      <rPr>
        <sz val="11"/>
        <color theme="1"/>
        <rFont val="Calibri"/>
        <family val="2"/>
        <scheme val="minor"/>
      </rPr>
      <t>.</t>
    </r>
  </si>
  <si>
    <r>
      <t xml:space="preserve">Use HLOOKUP to find the sales for </t>
    </r>
    <r>
      <rPr>
        <b/>
        <sz val="11"/>
        <color theme="1"/>
        <rFont val="Calibri"/>
        <family val="2"/>
        <scheme val="minor"/>
      </rPr>
      <t>Product D</t>
    </r>
    <r>
      <rPr>
        <sz val="11"/>
        <color theme="1"/>
        <rFont val="Calibri"/>
        <family val="2"/>
        <scheme val="minor"/>
      </rPr>
      <t xml:space="preserve"> in </t>
    </r>
    <r>
      <rPr>
        <b/>
        <sz val="11"/>
        <color theme="1"/>
        <rFont val="Calibri"/>
        <family val="2"/>
        <scheme val="minor"/>
      </rPr>
      <t>May</t>
    </r>
    <r>
      <rPr>
        <sz val="11"/>
        <color theme="1"/>
        <rFont val="Calibri"/>
        <family val="2"/>
        <scheme val="minor"/>
      </rPr>
      <t>.</t>
    </r>
  </si>
  <si>
    <r>
      <t xml:space="preserve">Use HLOOKUP to find the sales for </t>
    </r>
    <r>
      <rPr>
        <b/>
        <sz val="11"/>
        <color theme="1"/>
        <rFont val="Calibri"/>
        <family val="2"/>
        <scheme val="minor"/>
      </rPr>
      <t>Product C</t>
    </r>
    <r>
      <rPr>
        <sz val="11"/>
        <color theme="1"/>
        <rFont val="Calibri"/>
        <family val="2"/>
        <scheme val="minor"/>
      </rPr>
      <t xml:space="preserve"> in </t>
    </r>
    <r>
      <rPr>
        <b/>
        <sz val="11"/>
        <color theme="1"/>
        <rFont val="Calibri"/>
        <family val="2"/>
        <scheme val="minor"/>
      </rPr>
      <t>February</t>
    </r>
    <r>
      <rPr>
        <sz val="11"/>
        <color theme="1"/>
        <rFont val="Calibri"/>
        <family val="2"/>
        <scheme val="minor"/>
      </rPr>
      <t>.</t>
    </r>
  </si>
  <si>
    <r>
      <t xml:space="preserve">Use HLOOKUP to find the sales for </t>
    </r>
    <r>
      <rPr>
        <b/>
        <sz val="11"/>
        <color theme="1"/>
        <rFont val="Calibri"/>
        <family val="2"/>
        <scheme val="minor"/>
      </rPr>
      <t>each month for a product</t>
    </r>
    <r>
      <rPr>
        <sz val="11"/>
        <color theme="1"/>
        <rFont val="Calibri"/>
        <family val="2"/>
        <scheme val="minor"/>
      </rPr>
      <t xml:space="preserve">, then calculate the </t>
    </r>
    <r>
      <rPr>
        <b/>
        <sz val="11"/>
        <color theme="1"/>
        <rFont val="Calibri"/>
        <family val="2"/>
        <scheme val="minor"/>
      </rPr>
      <t>total sales for that product</t>
    </r>
    <r>
      <rPr>
        <sz val="11"/>
        <color theme="1"/>
        <rFont val="Calibri"/>
        <family val="2"/>
        <scheme val="minor"/>
      </rPr>
      <t>.</t>
    </r>
  </si>
  <si>
    <r>
      <t xml:space="preserve">Use HLOOKUP to find the </t>
    </r>
    <r>
      <rPr>
        <b/>
        <sz val="11"/>
        <color theme="1"/>
        <rFont val="Calibri"/>
        <family val="2"/>
        <scheme val="minor"/>
      </rPr>
      <t>maximum sales value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Product B</t>
    </r>
    <r>
      <rPr>
        <sz val="11"/>
        <color theme="1"/>
        <rFont val="Calibri"/>
        <family val="2"/>
        <scheme val="minor"/>
      </rPr>
      <t xml:space="preserve"> across all months.</t>
    </r>
  </si>
  <si>
    <r>
      <t xml:space="preserve">Use HLOOKUP to find the </t>
    </r>
    <r>
      <rPr>
        <b/>
        <sz val="11"/>
        <color theme="1"/>
        <rFont val="Calibri"/>
        <family val="2"/>
        <scheme val="minor"/>
      </rPr>
      <t>minimum sales value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Product F</t>
    </r>
    <r>
      <rPr>
        <sz val="11"/>
        <color theme="1"/>
        <rFont val="Calibri"/>
        <family val="2"/>
        <scheme val="minor"/>
      </rPr>
      <t xml:space="preserve"> across all months.</t>
    </r>
  </si>
  <si>
    <r>
      <t xml:space="preserve">Use HLOOKUP to find the </t>
    </r>
    <r>
      <rPr>
        <b/>
        <sz val="11"/>
        <color theme="1"/>
        <rFont val="Calibri"/>
        <family val="2"/>
        <scheme val="minor"/>
      </rPr>
      <t>average sales value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Product E</t>
    </r>
    <r>
      <rPr>
        <sz val="11"/>
        <color theme="1"/>
        <rFont val="Calibri"/>
        <family val="2"/>
        <scheme val="minor"/>
      </rPr>
      <t xml:space="preserve"> across all months.</t>
    </r>
  </si>
  <si>
    <r>
      <rPr>
        <b/>
        <sz val="11"/>
        <color theme="1"/>
        <rFont val="Calibri"/>
        <family val="2"/>
        <scheme val="minor"/>
      </rPr>
      <t>minimum sales value for Product F</t>
    </r>
    <r>
      <rPr>
        <sz val="11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</si>
</sst>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6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82F0E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right"/>
    </xf>
    <xf numFmtId="0" fontId="0" fillId="0" borderId="2" xfId="0" applyBorder="1" applyAlignment="1">
      <alignment vertical="center"/>
    </xf>
    <xf numFmtId="0" fontId="0" fillId="0" borderId="2" xfId="0" applyBorder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6" fillId="7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5" borderId="1" xfId="0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FF"/>
      <color rgb="FF82F0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Custom 5">
      <a:dk1>
        <a:srgbClr val="2C2C2C"/>
      </a:dk1>
      <a:lt1>
        <a:srgbClr val="FFFFFF"/>
      </a:lt1>
      <a:dk2>
        <a:srgbClr val="FA72B9"/>
      </a:dk2>
      <a:lt2>
        <a:srgbClr val="EDEDED"/>
      </a:lt2>
      <a:accent1>
        <a:srgbClr val="FFC000"/>
      </a:accent1>
      <a:accent2>
        <a:srgbClr val="F50382"/>
      </a:accent2>
      <a:accent3>
        <a:srgbClr val="0CC978"/>
      </a:accent3>
      <a:accent4>
        <a:srgbClr val="099BDD"/>
      </a:accent4>
      <a:accent5>
        <a:srgbClr val="47BFCD"/>
      </a:accent5>
      <a:accent6>
        <a:srgbClr val="DD7C15"/>
      </a:accent6>
      <a:hlink>
        <a:srgbClr val="FF9933"/>
      </a:hlink>
      <a:folHlink>
        <a:srgbClr val="B2B2B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777EF-F9C8-401D-9DA3-4F9358D7497B}">
  <dimension ref="A1:AI38"/>
  <sheetViews>
    <sheetView tabSelected="1" zoomScale="66" workbookViewId="0">
      <selection activeCell="Z28" sqref="Z28"/>
    </sheetView>
  </sheetViews>
  <sheetFormatPr defaultRowHeight="14.4" x14ac:dyDescent="0.3"/>
  <cols>
    <col min="1" max="1" width="9" bestFit="1" customWidth="1"/>
    <col min="2" max="3" width="4" bestFit="1" customWidth="1"/>
    <col min="4" max="4" width="4.44140625" bestFit="1" customWidth="1"/>
    <col min="5" max="5" width="4" bestFit="1" customWidth="1"/>
    <col min="6" max="6" width="4.77734375" bestFit="1" customWidth="1"/>
    <col min="7" max="7" width="5.44140625" customWidth="1"/>
    <col min="8" max="8" width="9" bestFit="1" customWidth="1"/>
    <col min="9" max="9" width="15" customWidth="1"/>
    <col min="10" max="10" width="5.33203125" customWidth="1"/>
    <col min="11" max="11" width="9.88671875" customWidth="1"/>
    <col min="12" max="12" width="10.21875" customWidth="1"/>
    <col min="13" max="13" width="4.44140625" bestFit="1" customWidth="1"/>
    <col min="14" max="14" width="4" bestFit="1" customWidth="1"/>
    <col min="16" max="17" width="4" bestFit="1" customWidth="1"/>
    <col min="18" max="18" width="4.44140625" bestFit="1" customWidth="1"/>
    <col min="19" max="19" width="4" bestFit="1" customWidth="1"/>
    <col min="20" max="20" width="4.77734375" bestFit="1" customWidth="1"/>
  </cols>
  <sheetData>
    <row r="1" spans="1:35" ht="21" x14ac:dyDescent="0.4">
      <c r="A1" s="22" t="s">
        <v>12</v>
      </c>
      <c r="B1" s="23"/>
      <c r="C1" s="23"/>
      <c r="D1" s="23"/>
      <c r="E1" s="23"/>
      <c r="F1" s="23"/>
      <c r="T1" s="28" t="s">
        <v>17</v>
      </c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</row>
    <row r="2" spans="1:35" x14ac:dyDescent="0.3">
      <c r="A2" s="14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T2" s="5">
        <v>1</v>
      </c>
      <c r="U2" s="24" t="s">
        <v>28</v>
      </c>
      <c r="V2" s="24"/>
      <c r="W2" s="24"/>
      <c r="X2" s="24"/>
      <c r="Y2" s="24"/>
      <c r="Z2" s="24"/>
      <c r="AA2" s="24"/>
      <c r="AB2" s="24"/>
      <c r="AC2" s="24"/>
      <c r="AD2" s="7"/>
      <c r="AE2" s="7"/>
    </row>
    <row r="3" spans="1:35" x14ac:dyDescent="0.3">
      <c r="A3" s="9" t="s">
        <v>6</v>
      </c>
      <c r="B3" s="21">
        <v>120</v>
      </c>
      <c r="C3" s="21">
        <v>130</v>
      </c>
      <c r="D3" s="21">
        <v>140</v>
      </c>
      <c r="E3" s="21">
        <v>150</v>
      </c>
      <c r="F3" s="21">
        <v>160</v>
      </c>
      <c r="T3" s="5">
        <v>2</v>
      </c>
      <c r="U3" s="24" t="s">
        <v>29</v>
      </c>
      <c r="V3" s="24"/>
      <c r="W3" s="24"/>
      <c r="X3" s="24"/>
      <c r="Y3" s="24"/>
      <c r="Z3" s="24"/>
      <c r="AA3" s="24"/>
      <c r="AB3" s="24"/>
      <c r="AC3" s="24"/>
      <c r="AD3" s="7"/>
      <c r="AE3" s="7"/>
    </row>
    <row r="4" spans="1:35" x14ac:dyDescent="0.3">
      <c r="A4" s="9" t="s">
        <v>7</v>
      </c>
      <c r="B4" s="21">
        <v>150</v>
      </c>
      <c r="C4" s="21">
        <v>160</v>
      </c>
      <c r="D4" s="21">
        <v>170</v>
      </c>
      <c r="E4" s="21">
        <v>180</v>
      </c>
      <c r="F4" s="21">
        <v>190</v>
      </c>
      <c r="T4" s="5">
        <v>3</v>
      </c>
      <c r="U4" s="24" t="s">
        <v>30</v>
      </c>
      <c r="V4" s="24"/>
      <c r="W4" s="24"/>
      <c r="X4" s="24"/>
      <c r="Y4" s="24"/>
      <c r="Z4" s="24"/>
      <c r="AA4" s="24"/>
      <c r="AB4" s="24"/>
      <c r="AC4" s="24"/>
      <c r="AD4" s="7"/>
      <c r="AE4" s="7"/>
    </row>
    <row r="5" spans="1:35" x14ac:dyDescent="0.3">
      <c r="A5" s="9" t="s">
        <v>8</v>
      </c>
      <c r="B5" s="21">
        <v>200</v>
      </c>
      <c r="C5" s="21">
        <v>210</v>
      </c>
      <c r="D5" s="21">
        <v>220</v>
      </c>
      <c r="E5" s="21">
        <v>230</v>
      </c>
      <c r="F5" s="21">
        <v>240</v>
      </c>
      <c r="T5" s="5">
        <v>4</v>
      </c>
      <c r="U5" s="24" t="s">
        <v>31</v>
      </c>
      <c r="V5" s="24"/>
      <c r="W5" s="24"/>
      <c r="X5" s="24"/>
      <c r="Y5" s="24"/>
      <c r="Z5" s="24"/>
      <c r="AA5" s="24"/>
      <c r="AB5" s="24"/>
      <c r="AC5" s="24"/>
      <c r="AD5" s="24"/>
      <c r="AE5" s="24"/>
      <c r="AF5" s="2"/>
      <c r="AG5" s="2"/>
      <c r="AH5" s="2"/>
      <c r="AI5" s="2"/>
    </row>
    <row r="6" spans="1:35" x14ac:dyDescent="0.3">
      <c r="A6" s="9" t="s">
        <v>9</v>
      </c>
      <c r="B6" s="21">
        <v>90</v>
      </c>
      <c r="C6" s="21">
        <v>100</v>
      </c>
      <c r="D6" s="21">
        <v>110</v>
      </c>
      <c r="E6" s="21">
        <v>120</v>
      </c>
      <c r="F6" s="21">
        <v>130</v>
      </c>
      <c r="T6" s="5">
        <v>5</v>
      </c>
      <c r="U6" s="24" t="s">
        <v>32</v>
      </c>
      <c r="V6" s="24"/>
      <c r="W6" s="24"/>
      <c r="X6" s="24"/>
      <c r="Y6" s="24"/>
      <c r="Z6" s="24"/>
      <c r="AA6" s="24"/>
      <c r="AB6" s="24"/>
      <c r="AC6" s="6"/>
      <c r="AD6" s="6"/>
      <c r="AE6" s="6"/>
      <c r="AF6" s="2"/>
    </row>
    <row r="7" spans="1:35" x14ac:dyDescent="0.3">
      <c r="A7" s="9" t="s">
        <v>10</v>
      </c>
      <c r="B7" s="21">
        <v>220</v>
      </c>
      <c r="C7" s="21">
        <v>230</v>
      </c>
      <c r="D7" s="21">
        <v>240</v>
      </c>
      <c r="E7" s="21">
        <v>250</v>
      </c>
      <c r="F7" s="21">
        <v>260</v>
      </c>
      <c r="T7" s="5">
        <v>6</v>
      </c>
      <c r="U7" s="24" t="s">
        <v>33</v>
      </c>
      <c r="V7" s="24"/>
      <c r="W7" s="24"/>
      <c r="X7" s="24"/>
      <c r="Y7" s="24"/>
      <c r="Z7" s="24"/>
      <c r="AA7" s="24"/>
      <c r="AB7" s="24"/>
      <c r="AC7" s="6"/>
      <c r="AD7" s="6"/>
      <c r="AE7" s="6"/>
      <c r="AF7" s="2"/>
    </row>
    <row r="8" spans="1:35" x14ac:dyDescent="0.3">
      <c r="A8" s="9" t="s">
        <v>11</v>
      </c>
      <c r="B8" s="21">
        <v>130</v>
      </c>
      <c r="C8" s="21">
        <v>140</v>
      </c>
      <c r="D8" s="21">
        <v>150</v>
      </c>
      <c r="E8" s="21">
        <v>160</v>
      </c>
      <c r="F8" s="21">
        <v>170</v>
      </c>
      <c r="T8" s="5">
        <v>7</v>
      </c>
      <c r="U8" s="24" t="s">
        <v>34</v>
      </c>
      <c r="V8" s="24"/>
      <c r="W8" s="24"/>
      <c r="X8" s="24"/>
      <c r="Y8" s="24"/>
      <c r="Z8" s="24"/>
      <c r="AA8" s="24"/>
      <c r="AB8" s="24"/>
      <c r="AC8" s="6"/>
      <c r="AD8" s="6"/>
      <c r="AE8" s="6"/>
      <c r="AF8" s="2"/>
    </row>
    <row r="9" spans="1:35" x14ac:dyDescent="0.3">
      <c r="H9" s="27" t="s">
        <v>21</v>
      </c>
      <c r="I9" s="27"/>
    </row>
    <row r="10" spans="1:35" x14ac:dyDescent="0.3">
      <c r="H10" s="15" t="s">
        <v>0</v>
      </c>
      <c r="I10" s="5" t="s">
        <v>13</v>
      </c>
    </row>
    <row r="11" spans="1:35" x14ac:dyDescent="0.3">
      <c r="H11" s="9" t="s">
        <v>6</v>
      </c>
      <c r="I11" s="5">
        <f>HLOOKUP(D2,A2:F8,2,0)</f>
        <v>140</v>
      </c>
    </row>
    <row r="13" spans="1:35" x14ac:dyDescent="0.3">
      <c r="P13" s="4"/>
      <c r="Q13" s="4"/>
      <c r="R13" s="4"/>
      <c r="S13" s="4"/>
      <c r="T13" s="4"/>
    </row>
    <row r="14" spans="1:35" x14ac:dyDescent="0.3">
      <c r="H14" s="27" t="s">
        <v>22</v>
      </c>
      <c r="I14" s="27"/>
      <c r="P14" s="4"/>
      <c r="Q14" s="4"/>
      <c r="R14" s="4"/>
      <c r="S14" s="4"/>
      <c r="T14" s="4"/>
    </row>
    <row r="15" spans="1:35" x14ac:dyDescent="0.3">
      <c r="H15" s="15" t="s">
        <v>0</v>
      </c>
      <c r="I15" s="5" t="s">
        <v>14</v>
      </c>
      <c r="P15" s="4"/>
      <c r="Q15" s="4"/>
      <c r="R15" s="4"/>
      <c r="S15" s="4"/>
      <c r="T15" s="4"/>
    </row>
    <row r="16" spans="1:35" x14ac:dyDescent="0.3">
      <c r="H16" s="9" t="s">
        <v>9</v>
      </c>
      <c r="I16" s="5">
        <f>HLOOKUP(F2,$A$2:$F$8,5,0)</f>
        <v>130</v>
      </c>
      <c r="P16" s="2"/>
      <c r="Q16" s="2"/>
      <c r="R16" s="2"/>
      <c r="S16" s="2"/>
      <c r="T16" s="2"/>
    </row>
    <row r="17" spans="2:21" x14ac:dyDescent="0.3">
      <c r="P17" s="4"/>
      <c r="Q17" s="4"/>
      <c r="R17" s="4"/>
      <c r="S17" s="4"/>
      <c r="T17" s="4"/>
    </row>
    <row r="18" spans="2:21" x14ac:dyDescent="0.3">
      <c r="P18" s="4"/>
      <c r="Q18" s="4"/>
      <c r="R18" s="4"/>
      <c r="S18" s="4"/>
      <c r="T18" s="4"/>
    </row>
    <row r="19" spans="2:21" x14ac:dyDescent="0.3">
      <c r="H19" s="27" t="s">
        <v>23</v>
      </c>
      <c r="I19" s="27"/>
      <c r="P19" s="4"/>
      <c r="Q19" s="4"/>
      <c r="R19" s="4"/>
      <c r="S19" s="4"/>
      <c r="T19" s="4"/>
    </row>
    <row r="20" spans="2:21" x14ac:dyDescent="0.3">
      <c r="H20" s="15" t="s">
        <v>0</v>
      </c>
      <c r="I20" s="5" t="s">
        <v>16</v>
      </c>
    </row>
    <row r="21" spans="2:21" x14ac:dyDescent="0.3">
      <c r="H21" s="9" t="s">
        <v>8</v>
      </c>
      <c r="I21" s="5">
        <f>HLOOKUP(C2,A2:F8,4,0)</f>
        <v>210</v>
      </c>
    </row>
    <row r="22" spans="2:21" x14ac:dyDescent="0.3">
      <c r="B22" s="26"/>
      <c r="C22" s="26"/>
      <c r="K22" s="27" t="s">
        <v>24</v>
      </c>
      <c r="L22" s="27"/>
      <c r="O22" s="27" t="s">
        <v>25</v>
      </c>
      <c r="P22" s="27"/>
      <c r="Q22" s="27"/>
      <c r="R22" s="27"/>
      <c r="S22" s="27"/>
      <c r="T22" s="27"/>
      <c r="U22" s="27"/>
    </row>
    <row r="23" spans="2:21" x14ac:dyDescent="0.3">
      <c r="K23" s="25" t="s">
        <v>15</v>
      </c>
      <c r="L23" s="25"/>
      <c r="M23" s="1"/>
      <c r="N23" s="1"/>
      <c r="O23" s="16" t="s">
        <v>0</v>
      </c>
      <c r="P23" s="19" t="s">
        <v>1</v>
      </c>
      <c r="Q23" s="19" t="s">
        <v>2</v>
      </c>
      <c r="R23" s="19" t="s">
        <v>3</v>
      </c>
      <c r="S23" s="19" t="s">
        <v>4</v>
      </c>
      <c r="T23" s="19" t="s">
        <v>5</v>
      </c>
      <c r="U23" s="31"/>
    </row>
    <row r="24" spans="2:21" x14ac:dyDescent="0.3">
      <c r="K24" s="8" t="s">
        <v>1</v>
      </c>
      <c r="L24" s="8">
        <f>HLOOKUP($K24,$A$2:$F$8,6,0)</f>
        <v>220</v>
      </c>
      <c r="M24" s="1"/>
      <c r="N24" s="1"/>
      <c r="O24" s="9" t="s">
        <v>7</v>
      </c>
      <c r="P24" s="5" cm="1">
        <f t="array" ref="P24:T24">HLOOKUP($B$2:$F$2,A2:F8,3,0)</f>
        <v>150</v>
      </c>
      <c r="Q24" s="5">
        <v>160</v>
      </c>
      <c r="R24" s="5">
        <v>170</v>
      </c>
      <c r="S24" s="5">
        <v>180</v>
      </c>
      <c r="T24" s="5">
        <v>190</v>
      </c>
      <c r="U24" s="32"/>
    </row>
    <row r="25" spans="2:21" x14ac:dyDescent="0.3">
      <c r="K25" s="8" t="s">
        <v>2</v>
      </c>
      <c r="L25" s="8">
        <f t="shared" ref="L25:L28" si="0">HLOOKUP($K25,$A$2:$F$8,6,0)</f>
        <v>230</v>
      </c>
      <c r="M25" s="1"/>
      <c r="N25" s="1"/>
      <c r="O25" s="35" t="s">
        <v>19</v>
      </c>
      <c r="P25" s="36"/>
      <c r="Q25" s="36"/>
      <c r="R25" s="36"/>
      <c r="S25" s="36"/>
      <c r="T25" s="36"/>
      <c r="U25" s="18">
        <f>MAX((HLOOKUP(P23,A2:F8,3,0)),(HLOOKUP(Q23,A2:F8,3,0)),HLOOKUP(R23,A2:F8,3,0),HLOOKUP(S23,A2:F8,3,0),HLOOKUP(T23,A2:F8,3,0))</f>
        <v>190</v>
      </c>
    </row>
    <row r="26" spans="2:21" x14ac:dyDescent="0.3">
      <c r="K26" s="8" t="s">
        <v>3</v>
      </c>
      <c r="L26" s="8">
        <f t="shared" si="0"/>
        <v>240</v>
      </c>
      <c r="M26" s="1"/>
      <c r="N26" s="1"/>
      <c r="O26" s="1"/>
    </row>
    <row r="27" spans="2:21" x14ac:dyDescent="0.3">
      <c r="K27" s="8" t="s">
        <v>4</v>
      </c>
      <c r="L27" s="8">
        <f t="shared" si="0"/>
        <v>250</v>
      </c>
      <c r="M27" s="1"/>
      <c r="N27" s="1"/>
      <c r="O27" s="1"/>
    </row>
    <row r="28" spans="2:21" x14ac:dyDescent="0.3">
      <c r="K28" s="8" t="s">
        <v>5</v>
      </c>
      <c r="L28" s="8">
        <f t="shared" si="0"/>
        <v>260</v>
      </c>
      <c r="O28" s="27" t="s">
        <v>26</v>
      </c>
      <c r="P28" s="27"/>
      <c r="Q28" s="27"/>
      <c r="R28" s="27"/>
      <c r="S28" s="27"/>
      <c r="T28" s="27"/>
      <c r="U28" s="27"/>
    </row>
    <row r="29" spans="2:21" x14ac:dyDescent="0.3">
      <c r="K29" s="17" t="s">
        <v>18</v>
      </c>
      <c r="L29" s="8" cm="1">
        <f t="array" ref="L29">SUM(HLOOKUP($K$24:$K$28,A2:F8,6,0))</f>
        <v>1200</v>
      </c>
      <c r="O29" s="16" t="s">
        <v>0</v>
      </c>
      <c r="P29" s="19" t="s">
        <v>1</v>
      </c>
      <c r="Q29" s="19" t="s">
        <v>2</v>
      </c>
      <c r="R29" s="19" t="s">
        <v>3</v>
      </c>
      <c r="S29" s="19" t="s">
        <v>4</v>
      </c>
      <c r="T29" s="20" t="s">
        <v>5</v>
      </c>
      <c r="U29" s="33"/>
    </row>
    <row r="30" spans="2:21" x14ac:dyDescent="0.3">
      <c r="O30" s="11" t="s">
        <v>11</v>
      </c>
      <c r="P30" s="12" cm="1">
        <f t="array" ref="P30:T30">HLOOKUP($B$2:$F$2,A2:F8,7,0)</f>
        <v>130</v>
      </c>
      <c r="Q30" s="12">
        <v>140</v>
      </c>
      <c r="R30" s="12">
        <v>150</v>
      </c>
      <c r="S30" s="12">
        <v>160</v>
      </c>
      <c r="T30" s="12">
        <v>170</v>
      </c>
      <c r="U30" s="34"/>
    </row>
    <row r="31" spans="2:21" x14ac:dyDescent="0.3">
      <c r="O31" s="30" t="s">
        <v>35</v>
      </c>
      <c r="P31" s="30"/>
      <c r="Q31" s="30"/>
      <c r="R31" s="30"/>
      <c r="S31" s="30"/>
      <c r="T31" s="30"/>
      <c r="U31" s="18">
        <f>MIN((HLOOKUP(P29,A2:F8,7,0)),(HLOOKUP(Q29,A2:F8,7,0)),(HLOOKUP(R29,A2:F8,7,0)),(HLOOKUP(S29,A2:F8,7,0)),(HLOOKUP(T29,A2:F8,7,0)))</f>
        <v>130</v>
      </c>
    </row>
    <row r="32" spans="2:21" x14ac:dyDescent="0.3">
      <c r="T32" s="10"/>
      <c r="U32" s="3"/>
    </row>
    <row r="35" spans="15:21" x14ac:dyDescent="0.3">
      <c r="O35" s="27" t="s">
        <v>27</v>
      </c>
      <c r="P35" s="27"/>
      <c r="Q35" s="27"/>
      <c r="R35" s="27"/>
      <c r="S35" s="27"/>
      <c r="T35" s="27"/>
      <c r="U35" s="27"/>
    </row>
    <row r="36" spans="15:21" x14ac:dyDescent="0.3">
      <c r="O36" s="16" t="s">
        <v>0</v>
      </c>
      <c r="P36" s="19" t="s">
        <v>1</v>
      </c>
      <c r="Q36" s="19" t="s">
        <v>2</v>
      </c>
      <c r="R36" s="19" t="s">
        <v>3</v>
      </c>
      <c r="S36" s="19" t="s">
        <v>4</v>
      </c>
      <c r="T36" s="19" t="s">
        <v>5</v>
      </c>
      <c r="U36" s="31"/>
    </row>
    <row r="37" spans="15:21" x14ac:dyDescent="0.3">
      <c r="O37" s="11" t="s">
        <v>10</v>
      </c>
      <c r="P37" s="12" cm="1">
        <f t="array" ref="P37:T37">HLOOKUP($B$2:$F$2,A2:F8,6,0)</f>
        <v>220</v>
      </c>
      <c r="Q37" s="12">
        <v>230</v>
      </c>
      <c r="R37" s="12">
        <v>240</v>
      </c>
      <c r="S37" s="12">
        <v>250</v>
      </c>
      <c r="T37" s="12">
        <v>260</v>
      </c>
      <c r="U37" s="32"/>
    </row>
    <row r="38" spans="15:21" x14ac:dyDescent="0.3">
      <c r="O38" s="29" t="s">
        <v>20</v>
      </c>
      <c r="P38" s="30"/>
      <c r="Q38" s="30"/>
      <c r="R38" s="30"/>
      <c r="S38" s="30"/>
      <c r="T38" s="30"/>
      <c r="U38" s="18" cm="1">
        <f t="array" ref="U38">AVERAGE((HLOOKUP($P$36:$T$36,A2:F8,6,0)))</f>
        <v>240</v>
      </c>
    </row>
  </sheetData>
  <mergeCells count="24">
    <mergeCell ref="O38:T38"/>
    <mergeCell ref="H9:I9"/>
    <mergeCell ref="H14:I14"/>
    <mergeCell ref="H19:I19"/>
    <mergeCell ref="O22:U22"/>
    <mergeCell ref="O28:U28"/>
    <mergeCell ref="O35:U35"/>
    <mergeCell ref="U36:U37"/>
    <mergeCell ref="U29:U30"/>
    <mergeCell ref="U23:U24"/>
    <mergeCell ref="O25:T25"/>
    <mergeCell ref="O31:T31"/>
    <mergeCell ref="A1:F1"/>
    <mergeCell ref="U8:AB8"/>
    <mergeCell ref="U6:AB6"/>
    <mergeCell ref="K23:L23"/>
    <mergeCell ref="U4:AC4"/>
    <mergeCell ref="B22:C22"/>
    <mergeCell ref="K22:L22"/>
    <mergeCell ref="T1:AE1"/>
    <mergeCell ref="U2:AC2"/>
    <mergeCell ref="U3:AC3"/>
    <mergeCell ref="U5:AE5"/>
    <mergeCell ref="U7:AB7"/>
  </mergeCells>
  <conditionalFormatting sqref="T2:T8">
    <cfRule type="colorScale" priority="1">
      <colorScale>
        <cfvo type="min"/>
        <cfvo type="max"/>
        <color rgb="FFFCFCFF"/>
        <color theme="8" tint="0.3999755851924192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amrita majumdar</dc:creator>
  <cp:lastModifiedBy>amrita majumdar</cp:lastModifiedBy>
  <dcterms:created xsi:type="dcterms:W3CDTF">2026-03-07T20:25:43Z</dcterms:created>
  <dcterms:modified xsi:type="dcterms:W3CDTF">2026-03-12T16:21:06Z</dcterms:modified>
</cp:coreProperties>
</file>