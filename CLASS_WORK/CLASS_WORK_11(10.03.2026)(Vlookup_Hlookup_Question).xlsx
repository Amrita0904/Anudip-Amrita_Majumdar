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ocuments/"/>
    </mc:Choice>
  </mc:AlternateContent>
  <xr:revisionPtr revIDLastSave="0" documentId="8_{E3BD37C1-09AC-4CE9-8FB8-EED4A9528728}" xr6:coauthVersionLast="47" xr6:coauthVersionMax="47" xr10:uidLastSave="{00000000-0000-0000-0000-000000000000}"/>
  <bookViews>
    <workbookView xWindow="-108" yWindow="-108" windowWidth="23256" windowHeight="12456" activeTab="3" xr2:uid="{C4A122F7-D1D2-481C-98E9-53AADCFC6653}"/>
  </bookViews>
  <sheets>
    <sheet name="WORK_SHEET_1" sheetId="1" r:id="rId1"/>
    <sheet name="WORK_SHEET_2" sheetId="2" r:id="rId2"/>
    <sheet name="WORK_SHEET_3" sheetId="3" r:id="rId3"/>
    <sheet name="WORK_SHEET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" l="1" a="1"/>
  <c r="J26" i="4" s="1"/>
  <c r="J16" i="4" a="1"/>
  <c r="J16" i="4" s="1"/>
  <c r="G23" i="4"/>
  <c r="K19" i="1" a="1"/>
  <c r="K19" i="1" s="1"/>
  <c r="K15" i="1" a="1"/>
  <c r="K15" i="1" s="1"/>
  <c r="I25" i="2" a="1"/>
  <c r="I25" i="2" s="1"/>
  <c r="I15" i="2" a="1"/>
  <c r="I15" i="2" s="1"/>
  <c r="G19" i="4" l="1"/>
  <c r="G15" i="4"/>
  <c r="K26" i="3" a="1"/>
  <c r="K26" i="3" s="1"/>
  <c r="K13" i="3" a="1"/>
  <c r="K13" i="3" s="1"/>
  <c r="G25" i="3"/>
  <c r="G21" i="3"/>
  <c r="G17" i="3"/>
  <c r="G13" i="3"/>
  <c r="F19" i="2"/>
  <c r="F15" i="2"/>
  <c r="H21" i="1"/>
  <c r="H17" i="1"/>
  <c r="H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<sst xmlns="http://schemas.openxmlformats.org/spreadsheetml/2006/main" count="231" uniqueCount="106">
  <si>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</si>
  <si>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</si>
  <si>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</si>
  <si>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</si>
  <si>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</si>
  <si>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</si>
  <si>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</si>
  <si>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</si>
  <si>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</si>
  <si>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</si>
  <si>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</si>
  <si>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</si>
  <si>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</si>
  <si>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</si>
  <si>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Questions</t>
  </si>
  <si>
    <r>
      <t xml:space="preserve">1. Find the </t>
    </r>
    <r>
      <rPr>
        <b/>
        <sz val="11"/>
        <color theme="1"/>
        <rFont val="Calibri"/>
        <family val="2"/>
        <scheme val="minor"/>
      </rPr>
      <t>Price of product P103 using HLOOKUP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</si>
  <si>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Stock of P104</t>
    </r>
    <r>
      <rPr>
        <sz val="11"/>
        <color theme="1"/>
        <rFont val="Calibri"/>
        <family val="2"/>
        <scheme val="minor"/>
      </rPr>
      <t>.</t>
    </r>
  </si>
  <si>
    <r>
      <t xml:space="preserve">3. Retrieve </t>
    </r>
    <r>
      <rPr>
        <b/>
        <sz val="11"/>
        <color theme="1"/>
        <rFont val="Calibri"/>
        <family val="2"/>
        <scheme val="minor"/>
      </rPr>
      <t>Product Name of P101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</si>
  <si>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Product ID is entered in any cell, return the Price</t>
    </r>
    <r>
      <rPr>
        <sz val="11"/>
        <color theme="1"/>
        <rFont val="Calibri"/>
        <family val="2"/>
        <scheme val="minor"/>
      </rPr>
      <t>.</t>
    </r>
  </si>
  <si>
    <r>
      <t xml:space="preserve">5. If </t>
    </r>
    <r>
      <rPr>
        <b/>
        <sz val="11"/>
        <color theme="1"/>
        <rFont val="Calibri"/>
        <family val="2"/>
        <scheme val="minor"/>
      </rPr>
      <t>Product ID is entered in any cell, return the Stock</t>
    </r>
    <r>
      <rPr>
        <sz val="11"/>
        <color theme="1"/>
        <rFont val="Calibri"/>
        <family val="2"/>
        <scheme val="minor"/>
      </rPr>
      <t>.</t>
    </r>
  </si>
  <si>
    <t>ID</t>
  </si>
  <si>
    <t>Name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</si>
  <si>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</si>
  <si>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</si>
  <si>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</si>
  <si>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</si>
  <si>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</si>
  <si>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</si>
  <si>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</si>
  <si>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</si>
  <si>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</si>
  <si>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</si>
  <si>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</si>
  <si>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</si>
  <si>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Neha</t>
  </si>
  <si>
    <t>Python</t>
  </si>
  <si>
    <t>C105</t>
  </si>
  <si>
    <t>Aman</t>
  </si>
  <si>
    <t>Tableau</t>
  </si>
  <si>
    <r>
      <t xml:space="preserve">1. Retrieve </t>
    </r>
    <r>
      <rPr>
        <b/>
        <sz val="11"/>
        <color theme="1"/>
        <rFont val="Calibri"/>
        <family val="2"/>
        <scheme val="minor"/>
      </rPr>
      <t>Course name for C103</t>
    </r>
    <r>
      <rPr>
        <sz val="11"/>
        <color theme="1"/>
        <rFont val="Calibri"/>
        <family val="2"/>
        <scheme val="minor"/>
      </rPr>
      <t>.</t>
    </r>
  </si>
  <si>
    <r>
      <t xml:space="preserve">2. Retrieve </t>
    </r>
    <r>
      <rPr>
        <b/>
        <sz val="11"/>
        <color theme="1"/>
        <rFont val="Calibri"/>
        <family val="2"/>
        <scheme val="minor"/>
      </rPr>
      <t>Fees for C104</t>
    </r>
    <r>
      <rPr>
        <sz val="11"/>
        <color theme="1"/>
        <rFont val="Calibri"/>
        <family val="2"/>
        <scheme val="minor"/>
      </rPr>
      <t>.</t>
    </r>
  </si>
  <si>
    <r>
      <t xml:space="preserve">3. If </t>
    </r>
    <r>
      <rPr>
        <b/>
        <sz val="11"/>
        <color theme="1"/>
        <rFont val="Calibri"/>
        <family val="2"/>
        <scheme val="minor"/>
      </rPr>
      <t>Course ID entered in any cell, display Name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</si>
  <si>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Course ID entered in any cell, display Fees</t>
    </r>
    <r>
      <rPr>
        <sz val="11"/>
        <color theme="1"/>
        <rFont val="Calibri"/>
        <family val="2"/>
        <scheme val="minor"/>
      </rPr>
      <t>.</t>
    </r>
  </si>
  <si>
    <t>Employee Information Table</t>
  </si>
  <si>
    <t>Emp ID</t>
  </si>
  <si>
    <t>Department</t>
  </si>
  <si>
    <t>Salary</t>
  </si>
  <si>
    <t>City</t>
  </si>
  <si>
    <t>E101</t>
  </si>
  <si>
    <t>Amit</t>
  </si>
  <si>
    <t>HR</t>
  </si>
  <si>
    <t>Delhi</t>
  </si>
  <si>
    <t>E102</t>
  </si>
  <si>
    <t>IT</t>
  </si>
  <si>
    <t>Mumbai</t>
  </si>
  <si>
    <t>E103</t>
  </si>
  <si>
    <t>Rahul</t>
  </si>
  <si>
    <t>Finance</t>
  </si>
  <si>
    <t>Kolkata</t>
  </si>
  <si>
    <t>E104</t>
  </si>
  <si>
    <t>Priya</t>
  </si>
  <si>
    <t>Bangalore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</si>
  <si>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</si>
  <si>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</si>
  <si>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</si>
  <si>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</si>
  <si>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</si>
  <si>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</si>
  <si>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</si>
  <si>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</si>
  <si>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E108</t>
  </si>
  <si>
    <t>Sneha</t>
  </si>
  <si>
    <t>Chennai</t>
  </si>
  <si>
    <r>
      <t xml:space="preserve">1. Find the Name of employee with Emp ID </t>
    </r>
    <r>
      <rPr>
        <b/>
        <sz val="11"/>
        <color theme="1"/>
        <rFont val="Calibri"/>
        <family val="2"/>
        <scheme val="minor"/>
      </rPr>
      <t>E104</t>
    </r>
    <r>
      <rPr>
        <sz val="11"/>
        <color theme="1"/>
        <rFont val="Calibri"/>
        <family val="2"/>
        <scheme val="minor"/>
      </rPr>
      <t xml:space="preserve"> using VLOOKUP.</t>
    </r>
  </si>
  <si>
    <r>
      <t xml:space="preserve">2. Find the Department of employee </t>
    </r>
    <r>
      <rPr>
        <b/>
        <sz val="11"/>
        <color theme="1"/>
        <rFont val="Calibri"/>
        <family val="2"/>
        <scheme val="minor"/>
      </rPr>
      <t>E103</t>
    </r>
    <r>
      <rPr>
        <sz val="11"/>
        <color theme="1"/>
        <rFont val="Calibri"/>
        <family val="2"/>
        <scheme val="minor"/>
      </rPr>
      <t>.</t>
    </r>
  </si>
  <si>
    <r>
      <t xml:space="preserve">3. Find the Salary of employee </t>
    </r>
    <r>
      <rPr>
        <b/>
        <sz val="11"/>
        <color theme="1"/>
        <rFont val="Calibri"/>
        <family val="2"/>
        <scheme val="minor"/>
      </rPr>
      <t>E108</t>
    </r>
    <r>
      <rPr>
        <sz val="11"/>
        <color theme="1"/>
        <rFont val="Calibri"/>
        <family val="2"/>
        <scheme val="minor"/>
      </rPr>
      <t>.</t>
    </r>
  </si>
  <si>
    <r>
      <t xml:space="preserve">4. Find the City of employee </t>
    </r>
    <r>
      <rPr>
        <b/>
        <sz val="11"/>
        <color theme="1"/>
        <rFont val="Calibri"/>
        <family val="2"/>
        <scheme val="minor"/>
      </rPr>
      <t>E105</t>
    </r>
    <r>
      <rPr>
        <sz val="11"/>
        <color theme="1"/>
        <rFont val="Calibri"/>
        <family val="2"/>
        <scheme val="minor"/>
      </rPr>
      <t>.</t>
    </r>
  </si>
  <si>
    <r>
      <t xml:space="preserve">5. If Emp ID is entered in any cell, retrieve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automatically.</t>
    </r>
  </si>
  <si>
    <r>
      <t xml:space="preserve">6. If Emp ID is entered in any cell,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</si>
  <si>
    <t>Student Marks Table</t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</si>
  <si>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</si>
  <si>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</si>
  <si>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</si>
  <si>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</si>
  <si>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</si>
  <si>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</si>
  <si>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</si>
  <si>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</si>
  <si>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S103</t>
  </si>
  <si>
    <t>Meena</t>
  </si>
  <si>
    <t>S104</t>
  </si>
  <si>
    <t>S105</t>
  </si>
  <si>
    <t>Kiran</t>
  </si>
  <si>
    <r>
      <t xml:space="preserve">1. Find Maths marks of </t>
    </r>
    <r>
      <rPr>
        <b/>
        <sz val="11"/>
        <color theme="1"/>
        <rFont val="Calibri"/>
        <family val="2"/>
        <scheme val="minor"/>
      </rPr>
      <t>S103</t>
    </r>
    <r>
      <rPr>
        <sz val="11"/>
        <color theme="1"/>
        <rFont val="Calibri"/>
        <family val="2"/>
        <scheme val="minor"/>
      </rPr>
      <t>.</t>
    </r>
  </si>
  <si>
    <r>
      <t xml:space="preserve">2. Find Science marks of </t>
    </r>
    <r>
      <rPr>
        <b/>
        <sz val="11"/>
        <color theme="1"/>
        <rFont val="Calibri"/>
        <family val="2"/>
        <scheme val="minor"/>
      </rPr>
      <t>S102</t>
    </r>
    <r>
      <rPr>
        <sz val="11"/>
        <color theme="1"/>
        <rFont val="Calibri"/>
        <family val="2"/>
        <scheme val="minor"/>
      </rPr>
      <t>.</t>
    </r>
  </si>
  <si>
    <r>
      <t xml:space="preserve">3. Find English marks of </t>
    </r>
    <r>
      <rPr>
        <b/>
        <sz val="11"/>
        <color theme="1"/>
        <rFont val="Calibri"/>
        <family val="2"/>
        <scheme val="minor"/>
      </rPr>
      <t>S105</t>
    </r>
    <r>
      <rPr>
        <sz val="11"/>
        <color theme="1"/>
        <rFont val="Calibri"/>
        <family val="2"/>
        <scheme val="minor"/>
      </rPr>
      <t>.</t>
    </r>
  </si>
  <si>
    <r>
      <t xml:space="preserve">4. If Student ID is entered in any cell, return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</si>
  <si>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t>5. Retrieve Science marks dynamically using Student ID in any cell.</t>
  </si>
  <si>
    <t>DATA</t>
  </si>
  <si>
    <t>Q.1.</t>
  </si>
  <si>
    <t>Q.2.</t>
  </si>
  <si>
    <t>Q.4.</t>
  </si>
  <si>
    <t>Q.3.</t>
  </si>
  <si>
    <t>Q.5.</t>
  </si>
  <si>
    <t>Q.6.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</si>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</sst>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3.5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1" xfId="0" applyBorder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66"/>
      <color rgb="FFFFFF66"/>
      <color rgb="FFFFFF00"/>
      <color rgb="FFFFCC00"/>
      <color rgb="FFFF6699"/>
      <color rgb="FFFFCCFF"/>
      <color rgb="FFFF66CC"/>
      <color rgb="FFFF33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12CB-5182-4758-A8EA-8551B1CBD186}">
  <sheetPr>
    <tabColor rgb="FF92D050"/>
  </sheetPr>
  <dimension ref="A1:Q21"/>
  <sheetViews>
    <sheetView workbookViewId="0">
      <selection activeCell="K24" sqref="K24"/>
    </sheetView>
  </sheetViews>
  <sheetFormatPr defaultRowHeight="14.4" x14ac:dyDescent="0.3"/>
  <cols>
    <col min="1" max="1" width="12.6640625" bestFit="1" customWidth="1"/>
    <col min="2" max="2" width="6.6640625" bestFit="1" customWidth="1"/>
    <col min="3" max="3" width="6.5546875" bestFit="1" customWidth="1"/>
    <col min="4" max="4" width="8.6640625" bestFit="1" customWidth="1"/>
    <col min="5" max="5" width="7.6640625" bestFit="1" customWidth="1"/>
    <col min="6" max="6" width="6.44140625" bestFit="1" customWidth="1"/>
    <col min="7" max="7" width="12.6640625" bestFit="1" customWidth="1"/>
    <col min="8" max="8" width="6.6640625" customWidth="1"/>
    <col min="9" max="9" width="9.44140625" customWidth="1"/>
    <col min="10" max="10" width="14" customWidth="1"/>
  </cols>
  <sheetData>
    <row r="1" spans="1:17" x14ac:dyDescent="0.3">
      <c r="A1" s="12" t="s">
        <v>98</v>
      </c>
      <c r="B1" s="13"/>
      <c r="C1" s="13"/>
      <c r="D1" s="13"/>
      <c r="E1" s="13"/>
      <c r="F1" s="14"/>
    </row>
    <row r="2" spans="1:17" ht="18" x14ac:dyDescent="0.3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L2" s="17" t="s">
        <v>14</v>
      </c>
      <c r="M2" s="18"/>
      <c r="N2" s="18"/>
      <c r="O2" s="18"/>
      <c r="P2" s="18"/>
      <c r="Q2" s="19"/>
    </row>
    <row r="3" spans="1:17" x14ac:dyDescent="0.3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L3" s="7" t="s">
        <v>15</v>
      </c>
      <c r="M3" s="7"/>
      <c r="N3" s="7"/>
      <c r="O3" s="7"/>
      <c r="P3" s="7"/>
      <c r="Q3" s="5"/>
    </row>
    <row r="4" spans="1:17" x14ac:dyDescent="0.3">
      <c r="A4" s="6" t="s">
        <v>12</v>
      </c>
      <c r="B4" s="6">
        <v>55000</v>
      </c>
      <c r="C4" s="6">
        <v>500</v>
      </c>
      <c r="D4" s="6">
        <v>1200</v>
      </c>
      <c r="E4" s="6">
        <v>9000</v>
      </c>
      <c r="F4" s="6">
        <v>7000</v>
      </c>
      <c r="L4" s="7" t="s">
        <v>16</v>
      </c>
      <c r="M4" s="7"/>
      <c r="N4" s="7"/>
      <c r="O4" s="5"/>
      <c r="P4" s="5"/>
      <c r="Q4" s="5"/>
    </row>
    <row r="5" spans="1:17" x14ac:dyDescent="0.3">
      <c r="A5" s="6" t="s">
        <v>13</v>
      </c>
      <c r="B5" s="6">
        <v>25</v>
      </c>
      <c r="C5" s="6">
        <v>150</v>
      </c>
      <c r="D5" s="6">
        <v>80</v>
      </c>
      <c r="E5" s="6">
        <v>40</v>
      </c>
      <c r="F5" s="6">
        <v>35</v>
      </c>
      <c r="L5" s="7" t="s">
        <v>17</v>
      </c>
      <c r="M5" s="7"/>
      <c r="N5" s="7"/>
      <c r="O5" s="7"/>
      <c r="P5" s="5"/>
      <c r="Q5" s="5"/>
    </row>
    <row r="6" spans="1:17" x14ac:dyDescent="0.3">
      <c r="L6" s="8" t="s">
        <v>18</v>
      </c>
      <c r="M6" s="8"/>
      <c r="N6" s="8"/>
      <c r="O6" s="8"/>
      <c r="P6" s="8"/>
      <c r="Q6" s="5"/>
    </row>
    <row r="7" spans="1:17" x14ac:dyDescent="0.3">
      <c r="L7" s="7" t="s">
        <v>19</v>
      </c>
      <c r="M7" s="7"/>
      <c r="N7" s="7"/>
      <c r="O7" s="7"/>
      <c r="P7" s="7"/>
      <c r="Q7" s="7"/>
    </row>
    <row r="11" spans="1:17" x14ac:dyDescent="0.3">
      <c r="G11" s="20" t="s">
        <v>99</v>
      </c>
      <c r="H11" s="20"/>
    </row>
    <row r="12" spans="1:17" x14ac:dyDescent="0.3">
      <c r="G12" s="16" t="s">
        <v>0</v>
      </c>
      <c r="H12" s="21" t="s">
        <v>3</v>
      </c>
    </row>
    <row r="13" spans="1:17" x14ac:dyDescent="0.3">
      <c r="G13" s="6" t="s">
        <v>12</v>
      </c>
      <c r="H13" s="5">
        <f>HLOOKUP(H12,A2:F5,3,0)</f>
        <v>1200</v>
      </c>
      <c r="J13" s="20" t="s">
        <v>101</v>
      </c>
      <c r="K13" s="20"/>
      <c r="L13" s="20"/>
      <c r="M13" s="20"/>
      <c r="N13" s="20"/>
      <c r="O13" s="20"/>
    </row>
    <row r="14" spans="1:17" x14ac:dyDescent="0.3">
      <c r="J14" s="16" t="s">
        <v>0</v>
      </c>
      <c r="K14" s="21" t="s">
        <v>1</v>
      </c>
      <c r="L14" s="21" t="s">
        <v>3</v>
      </c>
      <c r="M14" s="21" t="s">
        <v>5</v>
      </c>
      <c r="N14" s="21" t="s">
        <v>2</v>
      </c>
      <c r="O14" s="21" t="s">
        <v>4</v>
      </c>
    </row>
    <row r="15" spans="1:17" x14ac:dyDescent="0.3">
      <c r="G15" s="20" t="s">
        <v>100</v>
      </c>
      <c r="H15" s="20"/>
      <c r="J15" s="5" t="s">
        <v>12</v>
      </c>
      <c r="K15" s="5" cm="1">
        <f t="array" ref="K15:O15">HLOOKUP($K$14:$O$14,A2:F5,3,0)</f>
        <v>55000</v>
      </c>
      <c r="L15" s="5">
        <v>1200</v>
      </c>
      <c r="M15" s="5">
        <v>7000</v>
      </c>
      <c r="N15" s="5">
        <v>500</v>
      </c>
      <c r="O15" s="5">
        <v>9000</v>
      </c>
    </row>
    <row r="16" spans="1:17" x14ac:dyDescent="0.3">
      <c r="G16" s="16" t="s">
        <v>0</v>
      </c>
      <c r="H16" s="21" t="s">
        <v>1</v>
      </c>
    </row>
    <row r="17" spans="7:15" x14ac:dyDescent="0.3">
      <c r="G17" s="6" t="s">
        <v>13</v>
      </c>
      <c r="H17" s="5">
        <f>HLOOKUP(H16,A2:F5,4,0)</f>
        <v>25</v>
      </c>
      <c r="J17" s="20" t="s">
        <v>103</v>
      </c>
      <c r="K17" s="20"/>
      <c r="L17" s="20"/>
      <c r="M17" s="20"/>
      <c r="N17" s="20"/>
      <c r="O17" s="20"/>
    </row>
    <row r="18" spans="7:15" x14ac:dyDescent="0.3">
      <c r="J18" s="16" t="s">
        <v>0</v>
      </c>
      <c r="K18" s="21" t="s">
        <v>1</v>
      </c>
      <c r="L18" s="21" t="s">
        <v>3</v>
      </c>
      <c r="M18" s="21" t="s">
        <v>5</v>
      </c>
      <c r="N18" s="21" t="s">
        <v>2</v>
      </c>
      <c r="O18" s="21" t="s">
        <v>4</v>
      </c>
    </row>
    <row r="19" spans="7:15" x14ac:dyDescent="0.3">
      <c r="G19" s="20" t="s">
        <v>102</v>
      </c>
      <c r="H19" s="20"/>
      <c r="J19" s="6" t="s">
        <v>13</v>
      </c>
      <c r="K19" s="5" cm="1">
        <f t="array" ref="K19:O19">HLOOKUP($K$18:$O$18,A2:F5,4,0)</f>
        <v>25</v>
      </c>
      <c r="L19" s="5">
        <v>80</v>
      </c>
      <c r="M19" s="5">
        <v>35</v>
      </c>
      <c r="N19" s="5">
        <v>150</v>
      </c>
      <c r="O19" s="5">
        <v>40</v>
      </c>
    </row>
    <row r="20" spans="7:15" x14ac:dyDescent="0.3">
      <c r="G20" s="16" t="s">
        <v>0</v>
      </c>
      <c r="H20" s="21" t="s">
        <v>1</v>
      </c>
    </row>
    <row r="21" spans="7:15" x14ac:dyDescent="0.3">
      <c r="G21" s="6" t="s">
        <v>6</v>
      </c>
      <c r="H21" s="5" t="str">
        <f>HLOOKUP(H20,A2:F5,2,0)</f>
        <v>Laptop</v>
      </c>
    </row>
  </sheetData>
  <mergeCells count="12">
    <mergeCell ref="A1:F1"/>
    <mergeCell ref="G11:H11"/>
    <mergeCell ref="G15:H15"/>
    <mergeCell ref="G19:H19"/>
    <mergeCell ref="J13:O13"/>
    <mergeCell ref="J17:O17"/>
    <mergeCell ref="L3:P3"/>
    <mergeCell ref="L4:N4"/>
    <mergeCell ref="L5:O5"/>
    <mergeCell ref="L6:P6"/>
    <mergeCell ref="L7:Q7"/>
    <mergeCell ref="L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2D32-7F09-4811-AC7C-4AB7B3A0E1BE}">
  <sheetPr>
    <tabColor rgb="FF9900FF"/>
  </sheetPr>
  <dimension ref="A1:O29"/>
  <sheetViews>
    <sheetView workbookViewId="0">
      <selection activeCell="N18" sqref="N18"/>
    </sheetView>
  </sheetViews>
  <sheetFormatPr defaultRowHeight="14.4" x14ac:dyDescent="0.3"/>
  <sheetData>
    <row r="1" spans="1:15" x14ac:dyDescent="0.3">
      <c r="A1" s="22" t="s">
        <v>98</v>
      </c>
      <c r="B1" s="22"/>
      <c r="C1" s="22"/>
      <c r="D1" s="22"/>
    </row>
    <row r="2" spans="1:15" x14ac:dyDescent="0.3">
      <c r="A2" s="23" t="s">
        <v>20</v>
      </c>
      <c r="B2" s="23" t="s">
        <v>21</v>
      </c>
      <c r="C2" s="23" t="s">
        <v>22</v>
      </c>
      <c r="D2" s="23" t="s">
        <v>23</v>
      </c>
    </row>
    <row r="3" spans="1:15" ht="18" x14ac:dyDescent="0.3">
      <c r="A3" s="9" t="s">
        <v>24</v>
      </c>
      <c r="B3" s="9" t="s">
        <v>25</v>
      </c>
      <c r="C3" s="9" t="s">
        <v>26</v>
      </c>
      <c r="D3" s="9">
        <v>3000</v>
      </c>
      <c r="K3" s="29" t="s">
        <v>14</v>
      </c>
      <c r="L3" s="29"/>
      <c r="M3" s="29"/>
      <c r="N3" s="29"/>
      <c r="O3" s="29"/>
    </row>
    <row r="4" spans="1:15" x14ac:dyDescent="0.3">
      <c r="A4" s="9" t="s">
        <v>27</v>
      </c>
      <c r="B4" s="9" t="s">
        <v>28</v>
      </c>
      <c r="C4" s="9" t="s">
        <v>29</v>
      </c>
      <c r="D4" s="9">
        <v>5000</v>
      </c>
      <c r="K4" s="7" t="s">
        <v>39</v>
      </c>
      <c r="L4" s="7"/>
      <c r="M4" s="7"/>
      <c r="N4" s="7"/>
      <c r="O4" s="28"/>
    </row>
    <row r="5" spans="1:15" x14ac:dyDescent="0.3">
      <c r="A5" s="9" t="s">
        <v>30</v>
      </c>
      <c r="B5" s="9" t="s">
        <v>31</v>
      </c>
      <c r="C5" s="9" t="s">
        <v>32</v>
      </c>
      <c r="D5" s="9">
        <v>4000</v>
      </c>
      <c r="K5" s="7" t="s">
        <v>40</v>
      </c>
      <c r="L5" s="7"/>
      <c r="M5" s="7"/>
      <c r="N5" s="28"/>
      <c r="O5" s="28"/>
    </row>
    <row r="6" spans="1:15" x14ac:dyDescent="0.3">
      <c r="A6" s="9" t="s">
        <v>33</v>
      </c>
      <c r="B6" s="9" t="s">
        <v>34</v>
      </c>
      <c r="C6" s="9" t="s">
        <v>35</v>
      </c>
      <c r="D6" s="9">
        <v>6000</v>
      </c>
      <c r="K6" s="7" t="s">
        <v>41</v>
      </c>
      <c r="L6" s="7"/>
      <c r="M6" s="7"/>
      <c r="N6" s="7"/>
      <c r="O6" s="7"/>
    </row>
    <row r="7" spans="1:15" x14ac:dyDescent="0.3">
      <c r="A7" s="9" t="s">
        <v>36</v>
      </c>
      <c r="B7" s="9" t="s">
        <v>37</v>
      </c>
      <c r="C7" s="9" t="s">
        <v>38</v>
      </c>
      <c r="D7" s="9">
        <v>4500</v>
      </c>
      <c r="K7" s="7" t="s">
        <v>42</v>
      </c>
      <c r="L7" s="7"/>
      <c r="M7" s="7"/>
      <c r="N7" s="7"/>
      <c r="O7" s="7"/>
    </row>
    <row r="13" spans="1:15" x14ac:dyDescent="0.3">
      <c r="E13" s="30" t="s">
        <v>99</v>
      </c>
      <c r="F13" s="30"/>
      <c r="H13" s="31" t="s">
        <v>102</v>
      </c>
      <c r="I13" s="32"/>
    </row>
    <row r="14" spans="1:15" x14ac:dyDescent="0.3">
      <c r="E14" s="33" t="s">
        <v>20</v>
      </c>
      <c r="F14" s="34" t="s">
        <v>22</v>
      </c>
      <c r="H14" s="33" t="s">
        <v>20</v>
      </c>
      <c r="I14" s="34" t="s">
        <v>21</v>
      </c>
    </row>
    <row r="15" spans="1:15" x14ac:dyDescent="0.3">
      <c r="E15" s="9" t="s">
        <v>30</v>
      </c>
      <c r="F15" s="5" t="str">
        <f>HLOOKUP(F14,A2:D7,4,0)</f>
        <v>SQL</v>
      </c>
      <c r="H15" s="9" t="s">
        <v>24</v>
      </c>
      <c r="I15" s="5" t="str" cm="1">
        <f t="array" ref="I15:I19">VLOOKUP($H$15:$H$19,A2:D7,2,0)</f>
        <v>Rohan</v>
      </c>
    </row>
    <row r="16" spans="1:15" x14ac:dyDescent="0.3">
      <c r="H16" s="9" t="s">
        <v>33</v>
      </c>
      <c r="I16" s="5" t="str">
        <v>Neha</v>
      </c>
    </row>
    <row r="17" spans="5:9" x14ac:dyDescent="0.3">
      <c r="E17" s="30" t="s">
        <v>100</v>
      </c>
      <c r="F17" s="30"/>
      <c r="H17" s="9" t="s">
        <v>36</v>
      </c>
      <c r="I17" s="5" t="str">
        <v>Aman</v>
      </c>
    </row>
    <row r="18" spans="5:9" x14ac:dyDescent="0.3">
      <c r="E18" s="33" t="s">
        <v>20</v>
      </c>
      <c r="F18" s="34" t="s">
        <v>23</v>
      </c>
      <c r="H18" s="9" t="s">
        <v>27</v>
      </c>
      <c r="I18" s="5" t="str">
        <v>Ananya</v>
      </c>
    </row>
    <row r="19" spans="5:9" x14ac:dyDescent="0.3">
      <c r="E19" s="9" t="s">
        <v>33</v>
      </c>
      <c r="F19" s="5">
        <f>HLOOKUP(F18,A2:D7,5,0)</f>
        <v>6000</v>
      </c>
      <c r="H19" s="9" t="s">
        <v>30</v>
      </c>
      <c r="I19" s="5" t="str">
        <v>Vikram</v>
      </c>
    </row>
    <row r="21" spans="5:9" x14ac:dyDescent="0.3">
      <c r="E21" s="27"/>
      <c r="F21" s="27"/>
    </row>
    <row r="22" spans="5:9" x14ac:dyDescent="0.3">
      <c r="E22" s="24"/>
      <c r="F22" s="24"/>
    </row>
    <row r="23" spans="5:9" x14ac:dyDescent="0.3">
      <c r="E23" s="25"/>
      <c r="F23" s="26"/>
      <c r="H23" s="31" t="s">
        <v>101</v>
      </c>
      <c r="I23" s="32"/>
    </row>
    <row r="24" spans="5:9" x14ac:dyDescent="0.3">
      <c r="E24" s="1"/>
      <c r="H24" s="33" t="s">
        <v>20</v>
      </c>
      <c r="I24" s="34" t="s">
        <v>23</v>
      </c>
    </row>
    <row r="25" spans="5:9" x14ac:dyDescent="0.3">
      <c r="E25" s="1"/>
      <c r="H25" s="35" t="s">
        <v>24</v>
      </c>
      <c r="I25" s="5" cm="1">
        <f t="array" ref="I25:I29">VLOOKUP($H$25:$H$29,$A$2:$D$7,4,0)</f>
        <v>3000</v>
      </c>
    </row>
    <row r="26" spans="5:9" x14ac:dyDescent="0.3">
      <c r="E26" s="1"/>
      <c r="H26" s="9" t="s">
        <v>33</v>
      </c>
      <c r="I26" s="5">
        <v>6000</v>
      </c>
    </row>
    <row r="27" spans="5:9" x14ac:dyDescent="0.3">
      <c r="E27" s="1"/>
      <c r="H27" s="9" t="s">
        <v>36</v>
      </c>
      <c r="I27" s="5">
        <v>4500</v>
      </c>
    </row>
    <row r="28" spans="5:9" x14ac:dyDescent="0.3">
      <c r="H28" s="9" t="s">
        <v>27</v>
      </c>
      <c r="I28" s="5">
        <v>5000</v>
      </c>
    </row>
    <row r="29" spans="5:9" x14ac:dyDescent="0.3">
      <c r="H29" s="9" t="s">
        <v>30</v>
      </c>
      <c r="I29" s="5">
        <v>4000</v>
      </c>
    </row>
  </sheetData>
  <mergeCells count="10">
    <mergeCell ref="K4:N4"/>
    <mergeCell ref="A1:D1"/>
    <mergeCell ref="E13:F13"/>
    <mergeCell ref="E17:F17"/>
    <mergeCell ref="K3:O3"/>
    <mergeCell ref="H23:I23"/>
    <mergeCell ref="H13:I13"/>
    <mergeCell ref="K7:O7"/>
    <mergeCell ref="K6:O6"/>
    <mergeCell ref="K5:M5"/>
  </mergeCells>
  <dataValidations count="1">
    <dataValidation type="list" allowBlank="1" showInputMessage="1" showErrorMessage="1" sqref="E23" xr:uid="{06E11893-B2DE-40BF-9477-68C7167B044F}">
      <formula1>$A$3:$A$7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F026-D8C7-4708-902A-07348BC2922E}">
  <sheetPr>
    <tabColor rgb="FFFF0066"/>
  </sheetPr>
  <dimension ref="A1:L38"/>
  <sheetViews>
    <sheetView workbookViewId="0">
      <selection activeCell="H21" sqref="H21"/>
    </sheetView>
  </sheetViews>
  <sheetFormatPr defaultRowHeight="14.4" x14ac:dyDescent="0.3"/>
  <cols>
    <col min="1" max="1" width="9.44140625" customWidth="1"/>
    <col min="2" max="2" width="6" bestFit="1" customWidth="1"/>
    <col min="3" max="3" width="11.109375" bestFit="1" customWidth="1"/>
    <col min="4" max="4" width="6.109375" bestFit="1" customWidth="1"/>
    <col min="5" max="5" width="9.21875" bestFit="1" customWidth="1"/>
    <col min="6" max="6" width="7" bestFit="1" customWidth="1"/>
    <col min="7" max="7" width="11.109375" bestFit="1" customWidth="1"/>
    <col min="10" max="10" width="7" bestFit="1" customWidth="1"/>
    <col min="11" max="11" width="11.109375" bestFit="1" customWidth="1"/>
    <col min="12" max="12" width="57.88671875" bestFit="1" customWidth="1"/>
  </cols>
  <sheetData>
    <row r="1" spans="1:12" ht="18" x14ac:dyDescent="0.3">
      <c r="A1" s="36" t="s">
        <v>43</v>
      </c>
      <c r="B1" s="36"/>
      <c r="C1" s="36"/>
      <c r="D1" s="36"/>
      <c r="E1" s="36"/>
      <c r="L1" s="38" t="s">
        <v>105</v>
      </c>
    </row>
    <row r="2" spans="1:12" x14ac:dyDescent="0.3">
      <c r="A2" s="4"/>
      <c r="B2" s="4"/>
      <c r="C2" s="4"/>
      <c r="D2" s="4"/>
      <c r="E2" s="4"/>
      <c r="L2" s="11" t="s">
        <v>73</v>
      </c>
    </row>
    <row r="3" spans="1:12" x14ac:dyDescent="0.3">
      <c r="A3" s="37" t="s">
        <v>44</v>
      </c>
      <c r="B3" s="37" t="s">
        <v>21</v>
      </c>
      <c r="C3" s="37" t="s">
        <v>45</v>
      </c>
      <c r="D3" s="37" t="s">
        <v>46</v>
      </c>
      <c r="E3" s="37" t="s">
        <v>47</v>
      </c>
      <c r="L3" s="11" t="s">
        <v>74</v>
      </c>
    </row>
    <row r="4" spans="1:12" x14ac:dyDescent="0.3">
      <c r="A4" s="6" t="s">
        <v>48</v>
      </c>
      <c r="B4" s="6" t="s">
        <v>49</v>
      </c>
      <c r="C4" s="6" t="s">
        <v>50</v>
      </c>
      <c r="D4" s="6">
        <v>35000</v>
      </c>
      <c r="E4" s="6" t="s">
        <v>51</v>
      </c>
      <c r="L4" s="11" t="s">
        <v>75</v>
      </c>
    </row>
    <row r="5" spans="1:12" x14ac:dyDescent="0.3">
      <c r="A5" s="6" t="s">
        <v>52</v>
      </c>
      <c r="B5" s="6" t="s">
        <v>34</v>
      </c>
      <c r="C5" s="6" t="s">
        <v>53</v>
      </c>
      <c r="D5" s="6">
        <v>50000</v>
      </c>
      <c r="E5" s="6" t="s">
        <v>54</v>
      </c>
      <c r="L5" s="11" t="s">
        <v>76</v>
      </c>
    </row>
    <row r="6" spans="1:12" x14ac:dyDescent="0.3">
      <c r="A6" s="6" t="s">
        <v>55</v>
      </c>
      <c r="B6" s="6" t="s">
        <v>56</v>
      </c>
      <c r="C6" s="6" t="s">
        <v>57</v>
      </c>
      <c r="D6" s="6">
        <v>45000</v>
      </c>
      <c r="E6" s="6" t="s">
        <v>58</v>
      </c>
      <c r="L6" s="11" t="s">
        <v>77</v>
      </c>
    </row>
    <row r="7" spans="1:12" x14ac:dyDescent="0.3">
      <c r="A7" s="6" t="s">
        <v>59</v>
      </c>
      <c r="B7" s="6" t="s">
        <v>60</v>
      </c>
      <c r="C7" s="6" t="s">
        <v>53</v>
      </c>
      <c r="D7" s="6">
        <v>52000</v>
      </c>
      <c r="E7" s="6" t="s">
        <v>61</v>
      </c>
      <c r="L7" s="11" t="s">
        <v>78</v>
      </c>
    </row>
    <row r="8" spans="1:12" x14ac:dyDescent="0.3">
      <c r="A8" s="6" t="s">
        <v>62</v>
      </c>
      <c r="B8" s="6" t="s">
        <v>63</v>
      </c>
      <c r="C8" s="6" t="s">
        <v>64</v>
      </c>
      <c r="D8" s="6">
        <v>48000</v>
      </c>
      <c r="E8" s="6" t="s">
        <v>65</v>
      </c>
    </row>
    <row r="9" spans="1:12" x14ac:dyDescent="0.3">
      <c r="A9" s="6" t="s">
        <v>66</v>
      </c>
      <c r="B9" s="6" t="s">
        <v>67</v>
      </c>
      <c r="C9" s="6" t="s">
        <v>50</v>
      </c>
      <c r="D9" s="6">
        <v>36000</v>
      </c>
      <c r="E9" s="6" t="s">
        <v>51</v>
      </c>
    </row>
    <row r="10" spans="1:12" x14ac:dyDescent="0.3">
      <c r="A10" s="6" t="s">
        <v>68</v>
      </c>
      <c r="B10" s="6" t="s">
        <v>69</v>
      </c>
      <c r="C10" s="6" t="s">
        <v>57</v>
      </c>
      <c r="D10" s="6">
        <v>47000</v>
      </c>
      <c r="E10" s="6" t="s">
        <v>54</v>
      </c>
    </row>
    <row r="11" spans="1:12" x14ac:dyDescent="0.3">
      <c r="A11" s="6" t="s">
        <v>70</v>
      </c>
      <c r="B11" s="6" t="s">
        <v>71</v>
      </c>
      <c r="C11" s="6" t="s">
        <v>64</v>
      </c>
      <c r="D11" s="6">
        <v>42000</v>
      </c>
      <c r="E11" s="10" t="s">
        <v>72</v>
      </c>
      <c r="F11" s="39" t="s">
        <v>99</v>
      </c>
      <c r="G11" s="40"/>
      <c r="J11" s="39" t="s">
        <v>103</v>
      </c>
      <c r="K11" s="40"/>
    </row>
    <row r="12" spans="1:12" x14ac:dyDescent="0.3">
      <c r="F12" s="41" t="s">
        <v>44</v>
      </c>
      <c r="G12" s="42" t="s">
        <v>21</v>
      </c>
      <c r="J12" s="41" t="s">
        <v>44</v>
      </c>
      <c r="K12" s="42" t="s">
        <v>46</v>
      </c>
    </row>
    <row r="13" spans="1:12" x14ac:dyDescent="0.3">
      <c r="F13" s="6" t="s">
        <v>59</v>
      </c>
      <c r="G13" s="5" t="str">
        <f>VLOOKUP(F13,A3:E11,2,0)</f>
        <v>Priya</v>
      </c>
      <c r="J13" s="6" t="s">
        <v>48</v>
      </c>
      <c r="K13" s="5" cm="1">
        <f t="array" ref="K13:K20">VLOOKUP($J$13:$J$20,$A$3:$E$11,4,0)</f>
        <v>35000</v>
      </c>
    </row>
    <row r="14" spans="1:12" x14ac:dyDescent="0.3">
      <c r="J14" s="6" t="s">
        <v>59</v>
      </c>
      <c r="K14" s="5">
        <v>52000</v>
      </c>
    </row>
    <row r="15" spans="1:12" x14ac:dyDescent="0.3">
      <c r="F15" s="39" t="s">
        <v>100</v>
      </c>
      <c r="G15" s="40"/>
      <c r="J15" s="6" t="s">
        <v>62</v>
      </c>
      <c r="K15" s="5">
        <v>48000</v>
      </c>
    </row>
    <row r="16" spans="1:12" x14ac:dyDescent="0.3">
      <c r="F16" s="41" t="s">
        <v>44</v>
      </c>
      <c r="G16" s="42" t="s">
        <v>45</v>
      </c>
      <c r="J16" s="6" t="s">
        <v>66</v>
      </c>
      <c r="K16" s="5">
        <v>36000</v>
      </c>
    </row>
    <row r="17" spans="1:11" x14ac:dyDescent="0.3">
      <c r="F17" s="6" t="s">
        <v>55</v>
      </c>
      <c r="G17" s="5" t="str">
        <f>VLOOKUP(F17,A3:E11,3,0)</f>
        <v>Finance</v>
      </c>
      <c r="J17" s="6" t="s">
        <v>68</v>
      </c>
      <c r="K17" s="5">
        <v>47000</v>
      </c>
    </row>
    <row r="18" spans="1:11" x14ac:dyDescent="0.3">
      <c r="A18" s="3"/>
      <c r="J18" s="6" t="s">
        <v>70</v>
      </c>
      <c r="K18" s="5">
        <v>42000</v>
      </c>
    </row>
    <row r="19" spans="1:11" x14ac:dyDescent="0.3">
      <c r="A19" s="2"/>
      <c r="F19" s="39" t="s">
        <v>102</v>
      </c>
      <c r="G19" s="40"/>
      <c r="J19" s="6" t="s">
        <v>52</v>
      </c>
      <c r="K19" s="5">
        <v>50000</v>
      </c>
    </row>
    <row r="20" spans="1:11" x14ac:dyDescent="0.3">
      <c r="F20" s="41" t="s">
        <v>44</v>
      </c>
      <c r="G20" s="42" t="s">
        <v>46</v>
      </c>
      <c r="J20" s="6" t="s">
        <v>55</v>
      </c>
      <c r="K20" s="5">
        <v>45000</v>
      </c>
    </row>
    <row r="21" spans="1:11" x14ac:dyDescent="0.3">
      <c r="F21" s="6" t="s">
        <v>70</v>
      </c>
      <c r="G21" s="5">
        <f>VLOOKUP(F21,A3:E11,4,0)</f>
        <v>42000</v>
      </c>
    </row>
    <row r="23" spans="1:11" x14ac:dyDescent="0.3">
      <c r="F23" s="39" t="s">
        <v>101</v>
      </c>
      <c r="G23" s="40"/>
    </row>
    <row r="24" spans="1:11" x14ac:dyDescent="0.3">
      <c r="F24" s="41" t="s">
        <v>44</v>
      </c>
      <c r="G24" s="42" t="s">
        <v>47</v>
      </c>
      <c r="J24" s="39" t="s">
        <v>104</v>
      </c>
      <c r="K24" s="40"/>
    </row>
    <row r="25" spans="1:11" x14ac:dyDescent="0.3">
      <c r="F25" s="6" t="s">
        <v>62</v>
      </c>
      <c r="G25" s="5" t="str">
        <f>VLOOKUP(F25,A3:E11,5,0)</f>
        <v>Pune</v>
      </c>
      <c r="J25" s="41" t="s">
        <v>44</v>
      </c>
      <c r="K25" s="42" t="s">
        <v>45</v>
      </c>
    </row>
    <row r="26" spans="1:11" x14ac:dyDescent="0.3">
      <c r="J26" s="6" t="s">
        <v>48</v>
      </c>
      <c r="K26" s="5" t="str" cm="1">
        <f t="array" ref="K26:K33">VLOOKUP($J$26:$J$33,$A$3:$E$11,3,0)</f>
        <v>HR</v>
      </c>
    </row>
    <row r="27" spans="1:11" x14ac:dyDescent="0.3">
      <c r="J27" s="6" t="s">
        <v>59</v>
      </c>
      <c r="K27" s="5" t="str">
        <v>IT</v>
      </c>
    </row>
    <row r="28" spans="1:11" x14ac:dyDescent="0.3">
      <c r="J28" s="6" t="s">
        <v>62</v>
      </c>
      <c r="K28" s="5" t="str">
        <v>Marketing</v>
      </c>
    </row>
    <row r="29" spans="1:11" x14ac:dyDescent="0.3">
      <c r="J29" s="6" t="s">
        <v>66</v>
      </c>
      <c r="K29" s="5" t="str">
        <v>HR</v>
      </c>
    </row>
    <row r="30" spans="1:11" x14ac:dyDescent="0.3">
      <c r="J30" s="6" t="s">
        <v>68</v>
      </c>
      <c r="K30" s="5" t="str">
        <v>Finance</v>
      </c>
    </row>
    <row r="31" spans="1:11" x14ac:dyDescent="0.3">
      <c r="J31" s="6" t="s">
        <v>70</v>
      </c>
      <c r="K31" s="5" t="str">
        <v>Marketing</v>
      </c>
    </row>
    <row r="32" spans="1:11" x14ac:dyDescent="0.3">
      <c r="J32" s="6" t="s">
        <v>52</v>
      </c>
      <c r="K32" s="5" t="str">
        <v>IT</v>
      </c>
    </row>
    <row r="33" spans="1:11" x14ac:dyDescent="0.3">
      <c r="J33" s="6" t="s">
        <v>55</v>
      </c>
      <c r="K33" s="5" t="str">
        <v>Finance</v>
      </c>
    </row>
    <row r="38" spans="1:11" x14ac:dyDescent="0.3">
      <c r="A38" s="3"/>
    </row>
  </sheetData>
  <mergeCells count="7">
    <mergeCell ref="J24:K24"/>
    <mergeCell ref="A1:E1"/>
    <mergeCell ref="F11:G11"/>
    <mergeCell ref="F15:G15"/>
    <mergeCell ref="F19:G19"/>
    <mergeCell ref="F23:G23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20AD-4409-4471-AEA9-16B4979458C5}">
  <sheetPr>
    <tabColor rgb="FFFFFF00"/>
  </sheetPr>
  <dimension ref="A1:O30"/>
  <sheetViews>
    <sheetView tabSelected="1" zoomScaleNormal="100" workbookViewId="0">
      <selection activeCell="R13" sqref="R13"/>
    </sheetView>
  </sheetViews>
  <sheetFormatPr defaultRowHeight="14.4" x14ac:dyDescent="0.3"/>
  <cols>
    <col min="5" max="5" width="9.109375" customWidth="1"/>
    <col min="6" max="6" width="10.77734375" customWidth="1"/>
    <col min="9" max="9" width="9.88671875" customWidth="1"/>
  </cols>
  <sheetData>
    <row r="1" spans="1:15" ht="18" x14ac:dyDescent="0.3">
      <c r="A1" s="43" t="s">
        <v>79</v>
      </c>
      <c r="B1" s="44"/>
      <c r="C1" s="44"/>
      <c r="D1" s="44"/>
      <c r="E1" s="45"/>
    </row>
    <row r="2" spans="1:15" x14ac:dyDescent="0.3">
      <c r="A2" s="4"/>
      <c r="B2" s="4"/>
      <c r="C2" s="4"/>
      <c r="D2" s="4"/>
      <c r="E2" s="4"/>
      <c r="I2" s="51" t="s">
        <v>105</v>
      </c>
      <c r="J2" s="52"/>
      <c r="K2" s="52"/>
      <c r="L2" s="52"/>
      <c r="M2" s="52"/>
      <c r="N2" s="52"/>
      <c r="O2" s="53"/>
    </row>
    <row r="3" spans="1:15" x14ac:dyDescent="0.3">
      <c r="A3" s="46" t="s">
        <v>80</v>
      </c>
      <c r="B3" s="46" t="s">
        <v>21</v>
      </c>
      <c r="C3" s="46" t="s">
        <v>81</v>
      </c>
      <c r="D3" s="46" t="s">
        <v>82</v>
      </c>
      <c r="E3" s="46" t="s">
        <v>83</v>
      </c>
      <c r="I3" s="7" t="s">
        <v>93</v>
      </c>
      <c r="J3" s="7"/>
      <c r="K3" s="7"/>
      <c r="L3" s="5"/>
      <c r="M3" s="5"/>
      <c r="N3" s="5"/>
      <c r="O3" s="5"/>
    </row>
    <row r="4" spans="1:15" x14ac:dyDescent="0.3">
      <c r="A4" s="6" t="s">
        <v>84</v>
      </c>
      <c r="B4" s="6" t="s">
        <v>85</v>
      </c>
      <c r="C4" s="6">
        <v>78</v>
      </c>
      <c r="D4" s="6">
        <v>82</v>
      </c>
      <c r="E4" s="6">
        <v>74</v>
      </c>
      <c r="I4" s="7" t="s">
        <v>94</v>
      </c>
      <c r="J4" s="7"/>
      <c r="K4" s="7"/>
      <c r="L4" s="5"/>
      <c r="M4" s="5"/>
      <c r="N4" s="5"/>
      <c r="O4" s="5"/>
    </row>
    <row r="5" spans="1:15" x14ac:dyDescent="0.3">
      <c r="A5" s="6" t="s">
        <v>86</v>
      </c>
      <c r="B5" s="6" t="s">
        <v>87</v>
      </c>
      <c r="C5" s="6">
        <v>65</v>
      </c>
      <c r="D5" s="6">
        <v>70</v>
      </c>
      <c r="E5" s="6">
        <v>68</v>
      </c>
      <c r="I5" s="7" t="s">
        <v>95</v>
      </c>
      <c r="J5" s="7"/>
      <c r="K5" s="7"/>
      <c r="L5" s="5"/>
      <c r="M5" s="5"/>
      <c r="N5" s="5"/>
      <c r="O5" s="5"/>
    </row>
    <row r="6" spans="1:15" x14ac:dyDescent="0.3">
      <c r="A6" s="6" t="s">
        <v>88</v>
      </c>
      <c r="B6" s="6" t="s">
        <v>89</v>
      </c>
      <c r="C6" s="6">
        <v>88</v>
      </c>
      <c r="D6" s="6">
        <v>91</v>
      </c>
      <c r="E6" s="6">
        <v>85</v>
      </c>
      <c r="I6" s="7" t="s">
        <v>96</v>
      </c>
      <c r="J6" s="7"/>
      <c r="K6" s="7"/>
      <c r="L6" s="7"/>
      <c r="M6" s="7"/>
      <c r="N6" s="7"/>
      <c r="O6" s="5"/>
    </row>
    <row r="7" spans="1:15" x14ac:dyDescent="0.3">
      <c r="A7" s="6" t="s">
        <v>90</v>
      </c>
      <c r="B7" s="6" t="s">
        <v>63</v>
      </c>
      <c r="C7" s="6">
        <v>72</v>
      </c>
      <c r="D7" s="6">
        <v>75</v>
      </c>
      <c r="E7" s="6">
        <v>70</v>
      </c>
      <c r="I7" s="7" t="s">
        <v>97</v>
      </c>
      <c r="J7" s="7"/>
      <c r="K7" s="7"/>
      <c r="L7" s="7"/>
      <c r="M7" s="7"/>
      <c r="N7" s="7"/>
      <c r="O7" s="7"/>
    </row>
    <row r="8" spans="1:15" x14ac:dyDescent="0.3">
      <c r="A8" s="6" t="s">
        <v>91</v>
      </c>
      <c r="B8" s="6" t="s">
        <v>92</v>
      </c>
      <c r="C8" s="6">
        <v>90</v>
      </c>
      <c r="D8" s="6">
        <v>93</v>
      </c>
      <c r="E8" s="6">
        <v>89</v>
      </c>
    </row>
    <row r="13" spans="1:15" x14ac:dyDescent="0.3">
      <c r="F13" s="47" t="s">
        <v>99</v>
      </c>
      <c r="G13" s="48"/>
    </row>
    <row r="14" spans="1:15" x14ac:dyDescent="0.3">
      <c r="F14" s="49" t="s">
        <v>80</v>
      </c>
      <c r="G14" s="50" t="s">
        <v>81</v>
      </c>
      <c r="I14" s="47" t="s">
        <v>104</v>
      </c>
      <c r="J14" s="48"/>
    </row>
    <row r="15" spans="1:15" x14ac:dyDescent="0.3">
      <c r="F15" s="6" t="s">
        <v>88</v>
      </c>
      <c r="G15" s="5">
        <f>HLOOKUP(G14,A3:E8,4,0)</f>
        <v>88</v>
      </c>
      <c r="I15" s="49" t="s">
        <v>80</v>
      </c>
      <c r="J15" s="50" t="s">
        <v>21</v>
      </c>
    </row>
    <row r="16" spans="1:15" x14ac:dyDescent="0.3">
      <c r="I16" s="6" t="s">
        <v>84</v>
      </c>
      <c r="J16" s="5" t="str" cm="1">
        <f t="array" ref="J16:J20">VLOOKUP($I$16:$I$20,$A$3:$E$8,2,0)</f>
        <v>Asha</v>
      </c>
    </row>
    <row r="17" spans="6:10" x14ac:dyDescent="0.3">
      <c r="F17" s="47" t="s">
        <v>100</v>
      </c>
      <c r="G17" s="48"/>
      <c r="I17" s="6" t="s">
        <v>88</v>
      </c>
      <c r="J17" s="5" t="str">
        <v>Meena</v>
      </c>
    </row>
    <row r="18" spans="6:10" x14ac:dyDescent="0.3">
      <c r="F18" s="49" t="s">
        <v>80</v>
      </c>
      <c r="G18" s="50" t="s">
        <v>82</v>
      </c>
      <c r="I18" s="6" t="s">
        <v>91</v>
      </c>
      <c r="J18" s="5" t="str">
        <v>Kiran</v>
      </c>
    </row>
    <row r="19" spans="6:10" x14ac:dyDescent="0.3">
      <c r="F19" s="6" t="s">
        <v>86</v>
      </c>
      <c r="G19" s="5">
        <f>HLOOKUP(G18,A3:E8,3,0)</f>
        <v>70</v>
      </c>
      <c r="I19" s="6" t="s">
        <v>90</v>
      </c>
      <c r="J19" s="5" t="str">
        <v>Arjun</v>
      </c>
    </row>
    <row r="20" spans="6:10" x14ac:dyDescent="0.3">
      <c r="I20" s="6" t="s">
        <v>86</v>
      </c>
      <c r="J20" s="5" t="str">
        <v>Ravi</v>
      </c>
    </row>
    <row r="21" spans="6:10" x14ac:dyDescent="0.3">
      <c r="F21" s="47" t="s">
        <v>102</v>
      </c>
      <c r="G21" s="48"/>
    </row>
    <row r="22" spans="6:10" x14ac:dyDescent="0.3">
      <c r="F22" s="49" t="s">
        <v>80</v>
      </c>
      <c r="G22" s="50" t="s">
        <v>83</v>
      </c>
    </row>
    <row r="23" spans="6:10" x14ac:dyDescent="0.3">
      <c r="F23" s="6" t="s">
        <v>91</v>
      </c>
      <c r="G23" s="5">
        <f>HLOOKUP(G22,A3:E8,5,0)</f>
        <v>70</v>
      </c>
    </row>
    <row r="24" spans="6:10" x14ac:dyDescent="0.3">
      <c r="I24" s="47" t="s">
        <v>103</v>
      </c>
      <c r="J24" s="48"/>
    </row>
    <row r="25" spans="6:10" x14ac:dyDescent="0.3">
      <c r="I25" s="49" t="s">
        <v>80</v>
      </c>
      <c r="J25" s="50" t="s">
        <v>82</v>
      </c>
    </row>
    <row r="26" spans="6:10" x14ac:dyDescent="0.3">
      <c r="I26" s="6" t="s">
        <v>84</v>
      </c>
      <c r="J26" s="5" cm="1">
        <f t="array" ref="J26:J30">VLOOKUP($I$26:$I$30,$A$3:$E$8,4,0)</f>
        <v>82</v>
      </c>
    </row>
    <row r="27" spans="6:10" x14ac:dyDescent="0.3">
      <c r="I27" s="6" t="s">
        <v>88</v>
      </c>
      <c r="J27" s="5">
        <v>91</v>
      </c>
    </row>
    <row r="28" spans="6:10" x14ac:dyDescent="0.3">
      <c r="I28" s="6" t="s">
        <v>91</v>
      </c>
      <c r="J28" s="5">
        <v>93</v>
      </c>
    </row>
    <row r="29" spans="6:10" x14ac:dyDescent="0.3">
      <c r="I29" s="6" t="s">
        <v>90</v>
      </c>
      <c r="J29" s="5">
        <v>75</v>
      </c>
    </row>
    <row r="30" spans="6:10" x14ac:dyDescent="0.3">
      <c r="I30" s="6" t="s">
        <v>86</v>
      </c>
      <c r="J30" s="5">
        <v>70</v>
      </c>
    </row>
  </sheetData>
  <mergeCells count="12">
    <mergeCell ref="I24:J24"/>
    <mergeCell ref="I14:J14"/>
    <mergeCell ref="F21:G21"/>
    <mergeCell ref="F17:G17"/>
    <mergeCell ref="F13:G13"/>
    <mergeCell ref="I2:O2"/>
    <mergeCell ref="A1:E1"/>
    <mergeCell ref="I6:N6"/>
    <mergeCell ref="I5:K5"/>
    <mergeCell ref="I4:K4"/>
    <mergeCell ref="I3:K3"/>
    <mergeCell ref="I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WORK_SHEET_1</vt:lpstr>
      <vt:lpstr>WORK_SHEET_2</vt:lpstr>
      <vt:lpstr>WORK_SHEET_3</vt:lpstr>
      <vt:lpstr>WORK_SHEET_4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2026-03-10T07:33:52Z</dcterms:created>
  <dcterms:modified xsi:type="dcterms:W3CDTF">2026-03-10T09:49:37Z</dcterms:modified>
</cp:coreProperties>
</file>