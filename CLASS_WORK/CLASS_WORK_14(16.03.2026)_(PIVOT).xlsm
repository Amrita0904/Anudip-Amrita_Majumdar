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c946aadce5fdbd82/Documents/"/>
    </mc:Choice>
  </mc:AlternateContent>
  <xr:revisionPtr revIDLastSave="0" documentId="8_{778B084A-8498-44F8-A96F-35166D7827F5}" xr6:coauthVersionLast="47" xr6:coauthVersionMax="47" xr10:uidLastSave="{00000000-0000-0000-0000-000000000000}"/>
  <bookViews>
    <workbookView xWindow="-108" yWindow="-108" windowWidth="23256" windowHeight="12456" activeTab="1" xr2:uid="{EA8E841C-C9D3-45DD-AB73-8A76C994AD53}"/>
  </bookViews>
  <sheets>
    <sheet name="DATA" sheetId="1" r:id="rId1"/>
    <sheet name="Pivot_Table" sheetId="2" r:id="rId2"/>
  </sheets>
  <definedNames>
    <definedName name="Slicer_Category">#N/A</definedName>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<sst xmlns="http://schemas.openxmlformats.org/spreadsheetml/2006/main" count="816" uniqueCount="161">
  <si>
    <t>Order ID</t>
  </si>
  <si>
    <t>Order Date</t>
  </si>
  <si>
    <t>Customer Name</t>
  </si>
  <si>
    <t>Region</t>
  </si>
  <si>
    <t>Category</t>
  </si>
  <si>
    <t>Sub-Category</t>
  </si>
  <si>
    <t>Quantity</t>
  </si>
  <si>
    <t>Unit Price</t>
  </si>
  <si>
    <t>Discount</t>
  </si>
  <si>
    <t>Total Sales</t>
  </si>
  <si>
    <t>Profit</t>
  </si>
  <si>
    <t>Payment Mode</t>
  </si>
  <si>
    <t>ORD-1000</t>
  </si>
  <si>
    <t>Karan</t>
  </si>
  <si>
    <t>South</t>
  </si>
  <si>
    <t>Office Supplies</t>
  </si>
  <si>
    <t>Pens</t>
  </si>
  <si>
    <t>UPI</t>
  </si>
  <si>
    <t>ORD-1001</t>
  </si>
  <si>
    <t>Vikram</t>
  </si>
  <si>
    <t>East</t>
  </si>
  <si>
    <t>Technology</t>
  </si>
  <si>
    <t>Laptops</t>
  </si>
  <si>
    <t>Cash</t>
  </si>
  <si>
    <t>ORD-1002</t>
  </si>
  <si>
    <t>Furniture</t>
  </si>
  <si>
    <t>Bookcases</t>
  </si>
  <si>
    <t>ORD-1003</t>
  </si>
  <si>
    <t>Simran</t>
  </si>
  <si>
    <t>Paper</t>
  </si>
  <si>
    <t>Net Banking</t>
  </si>
  <si>
    <t>ORD-1004</t>
  </si>
  <si>
    <t>ORD-1005</t>
  </si>
  <si>
    <t>Sneha</t>
  </si>
  <si>
    <t>Credit Card</t>
  </si>
  <si>
    <t>ORD-1006</t>
  </si>
  <si>
    <t>Priya</t>
  </si>
  <si>
    <t>ORD-1007</t>
  </si>
  <si>
    <t>Raj</t>
  </si>
  <si>
    <t>West</t>
  </si>
  <si>
    <t>Binders</t>
  </si>
  <si>
    <t>ORD-1008</t>
  </si>
  <si>
    <t>North</t>
  </si>
  <si>
    <t>ORD-1009</t>
  </si>
  <si>
    <t>Amit</t>
  </si>
  <si>
    <t>Printers</t>
  </si>
  <si>
    <t>ORD-1010</t>
  </si>
  <si>
    <t>ORD-1011</t>
  </si>
  <si>
    <t>Mobiles</t>
  </si>
  <si>
    <t>ORD-1012</t>
  </si>
  <si>
    <t>ORD-1013</t>
  </si>
  <si>
    <t>Pooja</t>
  </si>
  <si>
    <t>Tables</t>
  </si>
  <si>
    <t>ORD-1014</t>
  </si>
  <si>
    <t>ORD-1015</t>
  </si>
  <si>
    <t>Chairs</t>
  </si>
  <si>
    <t>ORD-1016</t>
  </si>
  <si>
    <t>ORD-1017</t>
  </si>
  <si>
    <t>ORD-1018</t>
  </si>
  <si>
    <t>Neha</t>
  </si>
  <si>
    <t>ORD-1019</t>
  </si>
  <si>
    <t>ORD-1020</t>
  </si>
  <si>
    <t>ORD-1021</t>
  </si>
  <si>
    <t>ORD-1022</t>
  </si>
  <si>
    <t>ORD-1023</t>
  </si>
  <si>
    <t>ORD-1024</t>
  </si>
  <si>
    <t>ORD-1025</t>
  </si>
  <si>
    <t>ORD-1026</t>
  </si>
  <si>
    <t>ORD-1027</t>
  </si>
  <si>
    <t>ORD-1028</t>
  </si>
  <si>
    <t>ORD-1029</t>
  </si>
  <si>
    <t>ORD-1030</t>
  </si>
  <si>
    <t>ORD-1031</t>
  </si>
  <si>
    <t>ORD-1032</t>
  </si>
  <si>
    <t>ORD-1033</t>
  </si>
  <si>
    <t>ORD-1034</t>
  </si>
  <si>
    <t>ORD-1035</t>
  </si>
  <si>
    <t>ORD-1036</t>
  </si>
  <si>
    <t>ORD-1037</t>
  </si>
  <si>
    <t>ORD-1038</t>
  </si>
  <si>
    <t>ORD-1039</t>
  </si>
  <si>
    <t>ORD-1040</t>
  </si>
  <si>
    <t>ORD-1041</t>
  </si>
  <si>
    <t>ORD-1042</t>
  </si>
  <si>
    <t>ORD-1043</t>
  </si>
  <si>
    <t>ORD-1044</t>
  </si>
  <si>
    <t>ORD-1045</t>
  </si>
  <si>
    <t>ORD-1046</t>
  </si>
  <si>
    <t>ORD-1047</t>
  </si>
  <si>
    <t>ORD-1048</t>
  </si>
  <si>
    <t>Ravi</t>
  </si>
  <si>
    <t>ORD-1049</t>
  </si>
  <si>
    <t>ORD-1050</t>
  </si>
  <si>
    <t>ORD-1051</t>
  </si>
  <si>
    <t>ORD-1052</t>
  </si>
  <si>
    <t>ORD-1053</t>
  </si>
  <si>
    <t>ORD-1054</t>
  </si>
  <si>
    <t>ORD-1055</t>
  </si>
  <si>
    <t>ORD-1056</t>
  </si>
  <si>
    <t>ORD-1057</t>
  </si>
  <si>
    <t>ORD-1058</t>
  </si>
  <si>
    <t>ORD-1059</t>
  </si>
  <si>
    <t>ORD-1060</t>
  </si>
  <si>
    <t>ORD-1061</t>
  </si>
  <si>
    <t>ORD-1062</t>
  </si>
  <si>
    <t>ORD-1063</t>
  </si>
  <si>
    <t>ORD-1064</t>
  </si>
  <si>
    <t>ORD-1065</t>
  </si>
  <si>
    <t>ORD-1066</t>
  </si>
  <si>
    <t>ORD-1067</t>
  </si>
  <si>
    <t>ORD-1068</t>
  </si>
  <si>
    <t>ORD-1069</t>
  </si>
  <si>
    <t>ORD-1070</t>
  </si>
  <si>
    <t>ORD-1071</t>
  </si>
  <si>
    <t>ORD-1072</t>
  </si>
  <si>
    <t>ORD-1073</t>
  </si>
  <si>
    <t>ORD-1074</t>
  </si>
  <si>
    <t>ORD-1075</t>
  </si>
  <si>
    <t>ORD-1076</t>
  </si>
  <si>
    <t>ORD-1077</t>
  </si>
  <si>
    <t>ORD-1078</t>
  </si>
  <si>
    <t>ORD-1079</t>
  </si>
  <si>
    <t>ORD-1080</t>
  </si>
  <si>
    <t>ORD-1081</t>
  </si>
  <si>
    <t>ORD-1082</t>
  </si>
  <si>
    <t>ORD-1083</t>
  </si>
  <si>
    <t>ORD-1084</t>
  </si>
  <si>
    <t>ORD-1085</t>
  </si>
  <si>
    <t>ORD-1086</t>
  </si>
  <si>
    <t>ORD-1087</t>
  </si>
  <si>
    <t>ORD-1088</t>
  </si>
  <si>
    <t>ORD-1089</t>
  </si>
  <si>
    <t>ORD-1090</t>
  </si>
  <si>
    <t>ORD-1091</t>
  </si>
  <si>
    <t>ORD-1092</t>
  </si>
  <si>
    <t>ORD-1093</t>
  </si>
  <si>
    <t>ORD-1094</t>
  </si>
  <si>
    <t>ORD-1095</t>
  </si>
  <si>
    <t>ORD-1096</t>
  </si>
  <si>
    <t>ORD-1097</t>
  </si>
  <si>
    <t>ORD-1098</t>
  </si>
  <si>
    <t>ORD-1099</t>
  </si>
  <si>
    <t>Row Labels</t>
  </si>
  <si>
    <t>Grand Total</t>
  </si>
  <si>
    <t>Sum of Total Sales</t>
  </si>
  <si>
    <t>Column Labels</t>
  </si>
  <si>
    <t>Jan</t>
  </si>
  <si>
    <t>Feb</t>
  </si>
  <si>
    <t>Mar</t>
  </si>
  <si>
    <t>Apr</t>
  </si>
  <si>
    <t>May</t>
  </si>
  <si>
    <t>Jun</t>
  </si>
  <si>
    <t>Jul</t>
  </si>
  <si>
    <t>Aug</t>
  </si>
  <si>
    <t>Sep</t>
  </si>
  <si>
    <t>Oct</t>
  </si>
  <si>
    <t>Nov</t>
  </si>
  <si>
    <t>Dec</t>
  </si>
  <si>
    <t>Sum of Field1</t>
  </si>
  <si>
    <t>Sum of Quantity</t>
  </si>
  <si>
    <t>Total S1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</si>
</sst>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rgb="FFFF99CC"/>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s>
  <cellStyleXfs count="1">
    <xf numFmtId="0" fontId="0" fillId="0" borderId="0"/>
  </cellStyleXfs>
  <cellXfs count="11">
    <xf numFmtId="0" fontId="0" fillId="0" borderId="0" xfId="0"/>
    <xf numFmtId="0" fontId="0" fillId="0" borderId="1" xfId="0" applyBorder="1" applyAlignment="1">
      <alignment horizontal="center"/>
    </xf>
    <xf numFmtId="14" fontId="0" fillId="0" borderId="1" xfId="0" applyNumberFormat="1" applyBorder="1" applyAlignment="1">
      <alignment horizontal="center"/>
    </xf>
    <xf numFmtId="0" fontId="0" fillId="0" borderId="0" xfId="0" pivotButton="1"/>
    <xf numFmtId="0" fontId="0" fillId="0" borderId="0" xfId="0" applyAlignment="1">
      <alignment horizontal="left"/>
    </xf>
    <xf numFmtId="0" fontId="0" fillId="0" borderId="0" xfId="0" applyAlignment="1">
      <alignment horizontal="left" indent="1"/>
    </xf>
    <xf numFmtId="10" fontId="0" fillId="0" borderId="0" xfId="0" applyNumberFormat="1"/>
    <xf numFmtId="0" fontId="0" fillId="0" borderId="3" xfId="0" applyBorder="1" applyAlignment="1">
      <alignment horizontal="center"/>
    </xf>
    <xf numFmtId="0" fontId="0" fillId="0" borderId="0" xfId="0" applyAlignment="1">
      <alignment horizontal="center"/>
    </xf>
    <xf numFmtId="0" fontId="1" fillId="2" borderId="1" xfId="0" applyFont="1" applyFill="1" applyBorder="1" applyAlignment="1">
      <alignment horizontal="center"/>
    </xf>
    <xf numFmtId="0" fontId="1" fillId="2" borderId="2" xfId="0" applyFont="1" applyFill="1" applyBorder="1" applyAlignment="1">
      <alignment horizontal="center"/>
    </xf>
  </cellXfs>
  <cellStyles count="1">
    <cellStyle name="Normal" xfId="0" builtinId="0"/>
  </cellStyles>
  <dxfs count="2">
    <dxf>
      <fill>
        <gradientFill degree="90">
          <stop position="0">
            <color theme="0"/>
          </stop>
          <stop position="1">
            <color rgb="FFFF99CC"/>
          </stop>
        </gradientFill>
      </fill>
    </dxf>
    <dxf>
      <fill>
        <gradientFill degree="270">
          <stop position="0">
            <color theme="0"/>
          </stop>
          <stop position="1">
            <color rgb="FFCCFF99"/>
          </stop>
        </gradientFill>
      </fill>
    </dxf>
  </dxfs>
  <tableStyles count="3" defaultTableStyle="TableStyleMedium2" defaultPivotStyle="PivotStyleLight16">
    <tableStyle name="PivotTable Style 1" table="0" count="1" xr9:uid="{8ECF3276-389E-4324-B75E-76A84DDF04DB}">
      <tableStyleElement type="wholeTable" dxfId="1"/>
    </tableStyle>
    <tableStyle name="PivotTable Style 2" table="0" count="1" xr9:uid="{D471E093-B9AD-406A-B947-F12F8C3B7726}">
      <tableStyleElement type="wholeTable" dxfId="0"/>
    </tableStyle>
    <tableStyle name="PivotTable Style 3" table="0" count="0" xr9:uid="{A529C450-DA00-4285-8F01-E09CC8A3C952}"/>
  </tableStyles>
  <colors>
    <mruColors>
      <color rgb="FFFF99CC"/>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2.xml"/><Relationship Id="rId4" Type="http://schemas.microsoft.com/office/2007/relationships/slicerCache" Target="slicerCaches/slicerCache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18</xdr:col>
      <xdr:colOff>266700</xdr:colOff>
      <xdr:row>14</xdr:row>
      <xdr:rowOff>160020</xdr:rowOff>
    </xdr:from>
    <xdr:to>
      <xdr:col>22</xdr:col>
      <xdr:colOff>175260</xdr:colOff>
      <xdr:row>28</xdr:row>
      <xdr:rowOff>66675</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D744A840-AC1D-B12B-BE8F-ECAC128734B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4607540" y="27203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190500</xdr:colOff>
      <xdr:row>14</xdr:row>
      <xdr:rowOff>175260</xdr:rowOff>
    </xdr:from>
    <xdr:to>
      <xdr:col>18</xdr:col>
      <xdr:colOff>320040</xdr:colOff>
      <xdr:row>28</xdr:row>
      <xdr:rowOff>81915</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7BB7B346-4DAB-8754-9F8F-B557D1452059}"/>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2832080" y="27355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rita majumdar" refreshedDate="46097.522352893517" createdVersion="8" refreshedVersion="8" minRefreshableVersion="3" recordCount="100" xr:uid="{8B641229-EA74-4B69-81D6-752526DC2F52}">
  <cacheSource type="worksheet">
    <worksheetSource ref="A1:L101" sheet="DATA"/>
  </cacheSource>
  <cacheFields count="15">
    <cacheField name="Order ID" numFmtId="0">
      <sharedItems count="100">
        <s v="ORD-1000"/>
        <s v="ORD-1001"/>
        <s v="ORD-1002"/>
        <s v="ORD-1003"/>
        <s v="ORD-1004"/>
        <s v="ORD-1005"/>
        <s v="ORD-1006"/>
        <s v="ORD-1007"/>
        <s v="ORD-1008"/>
        <s v="ORD-1009"/>
        <s v="ORD-1010"/>
        <s v="ORD-1011"/>
        <s v="ORD-1012"/>
        <s v="ORD-1013"/>
        <s v="ORD-1014"/>
        <s v="ORD-1015"/>
        <s v="ORD-1016"/>
        <s v="ORD-1017"/>
        <s v="ORD-1018"/>
        <s v="ORD-1019"/>
        <s v="ORD-1020"/>
        <s v="ORD-1021"/>
        <s v="ORD-1022"/>
        <s v="ORD-1023"/>
        <s v="ORD-1024"/>
        <s v="ORD-1025"/>
        <s v="ORD-1026"/>
        <s v="ORD-1027"/>
        <s v="ORD-1028"/>
        <s v="ORD-1029"/>
        <s v="ORD-1030"/>
        <s v="ORD-1031"/>
        <s v="ORD-1032"/>
        <s v="ORD-1033"/>
        <s v="ORD-1034"/>
        <s v="ORD-1035"/>
        <s v="ORD-1036"/>
        <s v="ORD-1037"/>
        <s v="ORD-1038"/>
        <s v="ORD-1039"/>
        <s v="ORD-1040"/>
        <s v="ORD-1041"/>
        <s v="ORD-1042"/>
        <s v="ORD-1043"/>
        <s v="ORD-1044"/>
        <s v="ORD-1045"/>
        <s v="ORD-1046"/>
        <s v="ORD-1047"/>
        <s v="ORD-1048"/>
        <s v="ORD-1049"/>
        <s v="ORD-1050"/>
        <s v="ORD-1051"/>
        <s v="ORD-1052"/>
        <s v="ORD-1053"/>
        <s v="ORD-1054"/>
        <s v="ORD-1055"/>
        <s v="ORD-1056"/>
        <s v="ORD-1057"/>
        <s v="ORD-1058"/>
        <s v="ORD-1059"/>
        <s v="ORD-1060"/>
        <s v="ORD-1061"/>
        <s v="ORD-1062"/>
        <s v="ORD-1063"/>
        <s v="ORD-1064"/>
        <s v="ORD-1065"/>
        <s v="ORD-1066"/>
        <s v="ORD-1067"/>
        <s v="ORD-1068"/>
        <s v="ORD-1069"/>
        <s v="ORD-1070"/>
        <s v="ORD-1071"/>
        <s v="ORD-1072"/>
        <s v="ORD-1073"/>
        <s v="ORD-1074"/>
        <s v="ORD-1075"/>
        <s v="ORD-1076"/>
        <s v="ORD-1077"/>
        <s v="ORD-1078"/>
        <s v="ORD-1079"/>
        <s v="ORD-1080"/>
        <s v="ORD-1081"/>
        <s v="ORD-1082"/>
        <s v="ORD-1083"/>
        <s v="ORD-1084"/>
        <s v="ORD-1085"/>
        <s v="ORD-1086"/>
        <s v="ORD-1087"/>
        <s v="ORD-1088"/>
        <s v="ORD-1089"/>
        <s v="ORD-1090"/>
        <s v="ORD-1091"/>
        <s v="ORD-1092"/>
        <s v="ORD-1093"/>
        <s v="ORD-1094"/>
        <s v="ORD-1095"/>
        <s v="ORD-1096"/>
        <s v="ORD-1097"/>
        <s v="ORD-1098"/>
        <s v="ORD-1099"/>
      </sharedItems>
    </cacheField>
    <cacheField name="Order Date" numFmtId="14">
      <sharedItems containsSemiMixedTypes="0" containsNonDate="0" containsDate="1" containsString="0" minDate="2023-01-02T00:00:00" maxDate="2023-12-31T00:00:00" count="87">
        <d v="2023-04-13T00:00:00"/>
        <d v="2023-12-15T00:00:00"/>
        <d v="2023-09-28T00:00:00"/>
        <d v="2023-04-17T00:00:00"/>
        <d v="2023-03-13T00:00:00"/>
        <d v="2023-07-08T00:00:00"/>
        <d v="2023-01-21T00:00:00"/>
        <d v="2023-05-02T00:00:00"/>
        <d v="2023-08-03T00:00:00"/>
        <d v="2023-11-27T00:00:00"/>
        <d v="2023-03-29T00:00:00"/>
        <d v="2023-04-10T00:00:00"/>
        <d v="2023-12-26T00:00:00"/>
        <d v="2023-06-01T00:00:00"/>
        <d v="2023-05-11T00:00:00"/>
        <d v="2023-05-30T00:00:00"/>
        <d v="2023-11-05T00:00:00"/>
        <d v="2023-09-15T00:00:00"/>
        <d v="2023-12-10T00:00:00"/>
        <d v="2023-10-21T00:00:00"/>
        <d v="2023-07-11T00:00:00"/>
        <d v="2023-10-04T00:00:00"/>
        <d v="2023-06-10T00:00:00"/>
        <d v="2023-11-10T00:00:00"/>
        <d v="2023-01-22T00:00:00"/>
        <d v="2023-09-10T00:00:00"/>
        <d v="2023-08-24T00:00:00"/>
        <d v="2023-12-11T00:00:00"/>
        <d v="2023-02-18T00:00:00"/>
        <d v="2023-02-28T00:00:00"/>
        <d v="2023-06-19T00:00:00"/>
        <d v="2023-07-07T00:00:00"/>
        <d v="2023-07-09T00:00:00"/>
        <d v="2023-06-24T00:00:00"/>
        <d v="2023-02-20T00:00:00"/>
        <d v="2023-12-30T00:00:00"/>
        <d v="2023-02-24T00:00:00"/>
        <d v="2023-09-01T00:00:00"/>
        <d v="2023-11-16T00:00:00"/>
        <d v="2023-11-03T00:00:00"/>
        <d v="2023-05-15T00:00:00"/>
        <d v="2023-11-25T00:00:00"/>
        <d v="2023-06-16T00:00:00"/>
        <d v="2023-10-01T00:00:00"/>
        <d v="2023-03-30T00:00:00"/>
        <d v="2023-11-12T00:00:00"/>
        <d v="2023-01-14T00:00:00"/>
        <d v="2023-08-30T00:00:00"/>
        <d v="2023-09-22T00:00:00"/>
        <d v="2023-12-12T00:00:00"/>
        <d v="2023-02-22T00:00:00"/>
        <d v="2023-12-06T00:00:00"/>
        <d v="2023-04-02T00:00:00"/>
        <d v="2023-09-21T00:00:00"/>
        <d v="2023-02-04T00:00:00"/>
        <d v="2023-07-25T00:00:00"/>
        <d v="2023-03-22T00:00:00"/>
        <d v="2023-02-19T00:00:00"/>
        <d v="2023-01-02T00:00:00"/>
        <d v="2023-02-23T00:00:00"/>
        <d v="2023-04-16T00:00:00"/>
        <d v="2023-09-17T00:00:00"/>
        <d v="2023-11-06T00:00:00"/>
        <d v="2023-07-10T00:00:00"/>
        <d v="2023-08-06T00:00:00"/>
        <d v="2023-02-13T00:00:00"/>
        <d v="2023-06-11T00:00:00"/>
        <d v="2023-07-21T00:00:00"/>
        <d v="2023-09-27T00:00:00"/>
        <d v="2023-12-17T00:00:00"/>
        <d v="2023-10-31T00:00:00"/>
        <d v="2023-09-09T00:00:00"/>
        <d v="2023-10-23T00:00:00"/>
        <d v="2023-08-01T00:00:00"/>
        <d v="2023-07-27T00:00:00"/>
        <d v="2023-08-25T00:00:00"/>
        <d v="2023-12-04T00:00:00"/>
        <d v="2023-10-07T00:00:00"/>
        <d v="2023-08-05T00:00:00"/>
        <d v="2023-02-10T00:00:00"/>
        <d v="2023-06-06T00:00:00"/>
        <d v="2023-01-15T00:00:00"/>
        <d v="2023-10-28T00:00:00"/>
        <d v="2023-03-06T00:00:00"/>
        <d v="2023-11-23T00:00:00"/>
        <d v="2023-01-09T00:00:00"/>
        <d v="2023-05-09T00:00:00"/>
      </sharedItems>
      <fieldGroup par="13"/>
    </cacheField>
    <cacheField name="Customer Name" numFmtId="0">
      <sharedItems count="10">
        <s v="Karan"/>
        <s v="Vikram"/>
        <s v="Simran"/>
        <s v="Sneha"/>
        <s v="Priya"/>
        <s v="Raj"/>
        <s v="Amit"/>
        <s v="Pooja"/>
        <s v="Neha"/>
        <s v="Ravi"/>
      </sharedItems>
    </cacheField>
    <cacheField name="Region" numFmtId="0">
      <sharedItems count="4">
        <s v="South"/>
        <s v="East"/>
        <s v="West"/>
        <s v="North"/>
      </sharedItems>
    </cacheField>
    <cacheField name="Category" numFmtId="0">
      <sharedItems count="3">
        <s v="Office Supplies"/>
        <s v="Technology"/>
        <s v="Furniture"/>
      </sharedItems>
    </cacheField>
    <cacheField name="Sub-Category" numFmtId="0">
      <sharedItems/>
    </cacheField>
    <cacheField name="Quantity" numFmtId="0">
      <sharedItems containsSemiMixedTypes="0" containsString="0" containsNumber="1" containsInteger="1" minValue="1" maxValue="9"/>
    </cacheField>
    <cacheField name="Unit Price" numFmtId="0">
      <sharedItems containsSemiMixedTypes="0" containsString="0" containsNumber="1" minValue="105.15" maxValue="1975.82"/>
    </cacheField>
    <cacheField name="Discount" numFmtId="0">
      <sharedItems containsSemiMixedTypes="0" containsString="0" containsNumber="1" minValue="0" maxValue="0.2"/>
    </cacheField>
    <cacheField name="Total Sales" numFmtId="0">
      <sharedItems containsSemiMixedTypes="0" containsString="0" containsNumber="1" minValue="233.71" maxValue="13708.81" count="100">
        <n v="3896.18"/>
        <n v="10204.69"/>
        <n v="4478.1899999999996"/>
        <n v="5248.92"/>
        <n v="5617.94"/>
        <n v="6809.12"/>
        <n v="7462.04"/>
        <n v="12618.01"/>
        <n v="2600.9299999999998"/>
        <n v="3093.91"/>
        <n v="2325.3000000000002"/>
        <n v="976.78"/>
        <n v="8675.4599999999991"/>
        <n v="5146.6000000000004"/>
        <n v="473.46"/>
        <n v="6344.46"/>
        <n v="1522.6"/>
        <n v="8148.57"/>
        <n v="12149.99"/>
        <n v="9796.7000000000007"/>
        <n v="3322.07"/>
        <n v="582.52"/>
        <n v="10583.44"/>
        <n v="376.77"/>
        <n v="7559.21"/>
        <n v="5004.71"/>
        <n v="2200.0500000000002"/>
        <n v="2306.81"/>
        <n v="3758.56"/>
        <n v="5896.13"/>
        <n v="1013.94"/>
        <n v="7335.5"/>
        <n v="1422.01"/>
        <n v="3173.66"/>
        <n v="4349.3100000000004"/>
        <n v="5437.1"/>
        <n v="6997.11"/>
        <n v="1267.8900000000001"/>
        <n v="1185.32"/>
        <n v="1373.07"/>
        <n v="3167.88"/>
        <n v="1572.91"/>
        <n v="4231"/>
        <n v="330.66"/>
        <n v="1012.04"/>
        <n v="8238.2099999999991"/>
        <n v="2519.3200000000002"/>
        <n v="10686.59"/>
        <n v="2140.6799999999998"/>
        <n v="3806.5"/>
        <n v="8872.99"/>
        <n v="6001.47"/>
        <n v="233.71"/>
        <n v="4838.9399999999996"/>
        <n v="11741.74"/>
        <n v="840.44"/>
        <n v="12263.42"/>
        <n v="7064.98"/>
        <n v="2613.0700000000002"/>
        <n v="1163.1199999999999"/>
        <n v="9714.7099999999991"/>
        <n v="4810.63"/>
        <n v="4739.04"/>
        <n v="12712.73"/>
        <n v="3951.65"/>
        <n v="1608.18"/>
        <n v="892.21"/>
        <n v="1709.88"/>
        <n v="1461.38"/>
        <n v="8463.99"/>
        <n v="8790.6"/>
        <n v="1455.62"/>
        <n v="1350.6"/>
        <n v="3891.04"/>
        <n v="3420.38"/>
        <n v="7270.4"/>
        <n v="2238.62"/>
        <n v="1611.21"/>
        <n v="2478.17"/>
        <n v="626.07000000000005"/>
        <n v="7756.51"/>
        <n v="2541.04"/>
        <n v="11483.18"/>
        <n v="13708.81"/>
        <n v="4257.91"/>
        <n v="5669.79"/>
        <n v="7505.83"/>
        <n v="12987.75"/>
        <n v="2149.91"/>
        <n v="4729.96"/>
        <n v="9889.86"/>
        <n v="6503.5"/>
        <n v="936.75"/>
        <n v="525.75"/>
        <n v="1458.92"/>
        <n v="577.16999999999996"/>
        <n v="989.05"/>
        <n v="11321.09"/>
        <n v="6627.86"/>
        <n v="10182.68"/>
      </sharedItems>
    </cacheField>
    <cacheField name="Profit" numFmtId="0">
      <sharedItems containsSemiMixedTypes="0" containsString="0" containsNumber="1" minValue="24.69" maxValue="2889.4"/>
    </cacheField>
    <cacheField name="Payment Mode" numFmtId="0">
      <sharedItems/>
    </cacheField>
    <cacheField name="Days (Order Date)" numFmtId="0" databaseField="0">
      <fieldGroup base="1">
        <rangePr groupBy="days" startDate="2023-01-02T00:00:00" endDate="2023-12-31T00:00:00"/>
        <groupItems count="368">
          <s v="&lt;02-01-202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31-12-2023"/>
        </groupItems>
      </fieldGroup>
    </cacheField>
    <cacheField name="Months (Order Date)" numFmtId="0" databaseField="0">
      <fieldGroup base="1">
        <rangePr groupBy="months" startDate="2023-01-02T00:00:00" endDate="2023-12-31T00:00:00"/>
        <groupItems count="14">
          <s v="&lt;02-01-2023"/>
          <s v="Jan"/>
          <s v="Feb"/>
          <s v="Mar"/>
          <s v="Apr"/>
          <s v="May"/>
          <s v="Jun"/>
          <s v="Jul"/>
          <s v="Aug"/>
          <s v="Sep"/>
          <s v="Oct"/>
          <s v="Nov"/>
          <s v="Dec"/>
          <s v="&gt;31-12-2023"/>
        </groupItems>
      </fieldGroup>
    </cacheField>
    <cacheField name="Field1" numFmtId="0" formula="'Total Sales'*5%" databaseField="0"/>
  </cacheFields>
  <extLst>
    <ext xmlns:x14="http://schemas.microsoft.com/office/spreadsheetml/2009/9/main" uri="{725AE2AE-9491-48be-B2B4-4EB974FC3084}">
      <x14:pivotCacheDefinition pivotCacheId="15819809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x v="0"/>
    <x v="0"/>
    <x v="0"/>
    <x v="0"/>
    <s v="Pens"/>
    <n v="3"/>
    <n v="1443.03"/>
    <n v="0.1"/>
    <x v="0"/>
    <n v="964.48"/>
    <s v="UPI"/>
  </r>
  <r>
    <x v="1"/>
    <x v="1"/>
    <x v="1"/>
    <x v="1"/>
    <x v="1"/>
    <s v="Laptops"/>
    <n v="7"/>
    <n v="1715.07"/>
    <n v="0.15"/>
    <x v="1"/>
    <n v="1354.41"/>
    <s v="Cash"/>
  </r>
  <r>
    <x v="2"/>
    <x v="2"/>
    <x v="0"/>
    <x v="1"/>
    <x v="2"/>
    <s v="Bookcases"/>
    <n v="8"/>
    <n v="621.97"/>
    <n v="0.1"/>
    <x v="2"/>
    <n v="752.58"/>
    <s v="Cash"/>
  </r>
  <r>
    <x v="3"/>
    <x v="3"/>
    <x v="2"/>
    <x v="0"/>
    <x v="0"/>
    <s v="Paper"/>
    <n v="5"/>
    <n v="1166.43"/>
    <n v="0.1"/>
    <x v="3"/>
    <n v="948.39"/>
    <s v="Net Banking"/>
  </r>
  <r>
    <x v="4"/>
    <x v="4"/>
    <x v="0"/>
    <x v="1"/>
    <x v="2"/>
    <s v="Bookcases"/>
    <n v="7"/>
    <n v="1003.2"/>
    <n v="0.2"/>
    <x v="4"/>
    <n v="995.18"/>
    <s v="UPI"/>
  </r>
  <r>
    <x v="5"/>
    <x v="5"/>
    <x v="3"/>
    <x v="0"/>
    <x v="2"/>
    <s v="Bookcases"/>
    <n v="4"/>
    <n v="1891.42"/>
    <n v="0.1"/>
    <x v="5"/>
    <n v="1523.17"/>
    <s v="Credit Card"/>
  </r>
  <r>
    <x v="6"/>
    <x v="6"/>
    <x v="4"/>
    <x v="0"/>
    <x v="1"/>
    <s v="Laptops"/>
    <n v="5"/>
    <n v="1755.78"/>
    <n v="0.15"/>
    <x v="6"/>
    <n v="780.61"/>
    <s v="Cash"/>
  </r>
  <r>
    <x v="7"/>
    <x v="0"/>
    <x v="5"/>
    <x v="2"/>
    <x v="0"/>
    <s v="Binders"/>
    <n v="7"/>
    <n v="1802.57"/>
    <n v="0"/>
    <x v="7"/>
    <n v="1489.34"/>
    <s v="Credit Card"/>
  </r>
  <r>
    <x v="8"/>
    <x v="7"/>
    <x v="0"/>
    <x v="3"/>
    <x v="2"/>
    <s v="Bookcases"/>
    <n v="7"/>
    <n v="412.85"/>
    <n v="0.1"/>
    <x v="8"/>
    <n v="401.46"/>
    <s v="UPI"/>
  </r>
  <r>
    <x v="9"/>
    <x v="8"/>
    <x v="6"/>
    <x v="0"/>
    <x v="1"/>
    <s v="Printers"/>
    <n v="6"/>
    <n v="515.65"/>
    <n v="0"/>
    <x v="9"/>
    <n v="467.05"/>
    <s v="Net Banking"/>
  </r>
  <r>
    <x v="10"/>
    <x v="9"/>
    <x v="6"/>
    <x v="1"/>
    <x v="1"/>
    <s v="Printers"/>
    <n v="2"/>
    <n v="1453.31"/>
    <n v="0.2"/>
    <x v="10"/>
    <n v="281.85000000000002"/>
    <s v="Credit Card"/>
  </r>
  <r>
    <x v="11"/>
    <x v="10"/>
    <x v="3"/>
    <x v="3"/>
    <x v="1"/>
    <s v="Mobiles"/>
    <n v="6"/>
    <n v="162.80000000000001"/>
    <n v="0"/>
    <x v="11"/>
    <n v="203.74"/>
    <s v="Net Banking"/>
  </r>
  <r>
    <x v="12"/>
    <x v="11"/>
    <x v="6"/>
    <x v="1"/>
    <x v="1"/>
    <s v="Mobiles"/>
    <n v="7"/>
    <n v="1377.06"/>
    <n v="0.1"/>
    <x v="12"/>
    <n v="1235.5"/>
    <s v="Cash"/>
  </r>
  <r>
    <x v="13"/>
    <x v="12"/>
    <x v="7"/>
    <x v="2"/>
    <x v="2"/>
    <s v="Tables"/>
    <n v="6"/>
    <n v="857.77"/>
    <n v="0"/>
    <x v="13"/>
    <n v="451.25"/>
    <s v="Credit Card"/>
  </r>
  <r>
    <x v="14"/>
    <x v="13"/>
    <x v="4"/>
    <x v="2"/>
    <x v="0"/>
    <s v="Pens"/>
    <n v="4"/>
    <n v="131.52000000000001"/>
    <n v="0.1"/>
    <x v="14"/>
    <n v="119.49"/>
    <s v="UPI"/>
  </r>
  <r>
    <x v="15"/>
    <x v="14"/>
    <x v="5"/>
    <x v="3"/>
    <x v="2"/>
    <s v="Chairs"/>
    <n v="8"/>
    <n v="834.8"/>
    <n v="0.05"/>
    <x v="15"/>
    <n v="1645.93"/>
    <s v="Cash"/>
  </r>
  <r>
    <x v="16"/>
    <x v="15"/>
    <x v="4"/>
    <x v="2"/>
    <x v="0"/>
    <s v="Pens"/>
    <n v="3"/>
    <n v="534.25"/>
    <n v="0.05"/>
    <x v="16"/>
    <n v="449.99"/>
    <s v="Credit Card"/>
  </r>
  <r>
    <x v="17"/>
    <x v="16"/>
    <x v="5"/>
    <x v="1"/>
    <x v="1"/>
    <s v="Laptops"/>
    <n v="5"/>
    <n v="1810.79"/>
    <n v="0.1"/>
    <x v="17"/>
    <n v="791.85"/>
    <s v="UPI"/>
  </r>
  <r>
    <x v="18"/>
    <x v="17"/>
    <x v="8"/>
    <x v="2"/>
    <x v="0"/>
    <s v="Binders"/>
    <n v="8"/>
    <n v="1786.76"/>
    <n v="0.15"/>
    <x v="18"/>
    <n v="863.07"/>
    <s v="Cash"/>
  </r>
  <r>
    <x v="19"/>
    <x v="18"/>
    <x v="3"/>
    <x v="0"/>
    <x v="1"/>
    <s v="Printers"/>
    <n v="9"/>
    <n v="1360.65"/>
    <n v="0.2"/>
    <x v="19"/>
    <n v="1185.21"/>
    <s v="Cash"/>
  </r>
  <r>
    <x v="20"/>
    <x v="19"/>
    <x v="0"/>
    <x v="2"/>
    <x v="0"/>
    <s v="Paper"/>
    <n v="9"/>
    <n v="434.26"/>
    <n v="0.15"/>
    <x v="20"/>
    <n v="363.14"/>
    <s v="Net Banking"/>
  </r>
  <r>
    <x v="21"/>
    <x v="20"/>
    <x v="7"/>
    <x v="1"/>
    <x v="0"/>
    <s v="Pens"/>
    <n v="1"/>
    <n v="685.32"/>
    <n v="0.15"/>
    <x v="21"/>
    <n v="103.22"/>
    <s v="Cash"/>
  </r>
  <r>
    <x v="22"/>
    <x v="21"/>
    <x v="3"/>
    <x v="3"/>
    <x v="1"/>
    <s v="Mobiles"/>
    <n v="6"/>
    <n v="1959.9"/>
    <n v="0.1"/>
    <x v="22"/>
    <n v="2889.4"/>
    <s v="Cash"/>
  </r>
  <r>
    <x v="23"/>
    <x v="22"/>
    <x v="4"/>
    <x v="1"/>
    <x v="2"/>
    <s v="Bookcases"/>
    <n v="1"/>
    <n v="470.96"/>
    <n v="0.2"/>
    <x v="23"/>
    <n v="65.86"/>
    <s v="Net Banking"/>
  </r>
  <r>
    <x v="24"/>
    <x v="23"/>
    <x v="8"/>
    <x v="3"/>
    <x v="2"/>
    <s v="Chairs"/>
    <n v="5"/>
    <n v="1778.64"/>
    <n v="0.15"/>
    <x v="24"/>
    <n v="407.17"/>
    <s v="Credit Card"/>
  </r>
  <r>
    <x v="25"/>
    <x v="24"/>
    <x v="0"/>
    <x v="2"/>
    <x v="1"/>
    <s v="Laptops"/>
    <n v="3"/>
    <n v="1962.63"/>
    <n v="0.15"/>
    <x v="25"/>
    <n v="618.64"/>
    <s v="UPI"/>
  </r>
  <r>
    <x v="26"/>
    <x v="25"/>
    <x v="8"/>
    <x v="0"/>
    <x v="2"/>
    <s v="Bookcases"/>
    <n v="2"/>
    <n v="1157.92"/>
    <n v="0.05"/>
    <x v="26"/>
    <n v="621.52"/>
    <s v="Net Banking"/>
  </r>
  <r>
    <x v="27"/>
    <x v="26"/>
    <x v="2"/>
    <x v="3"/>
    <x v="0"/>
    <s v="Binders"/>
    <n v="7"/>
    <n v="366.16"/>
    <n v="0.1"/>
    <x v="27"/>
    <n v="285.63"/>
    <s v="Net Banking"/>
  </r>
  <r>
    <x v="28"/>
    <x v="27"/>
    <x v="2"/>
    <x v="1"/>
    <x v="2"/>
    <s v="Chairs"/>
    <n v="6"/>
    <n v="783.03"/>
    <n v="0.2"/>
    <x v="28"/>
    <n v="466.54"/>
    <s v="Cash"/>
  </r>
  <r>
    <x v="29"/>
    <x v="28"/>
    <x v="8"/>
    <x v="2"/>
    <x v="2"/>
    <s v="Chairs"/>
    <n v="7"/>
    <n v="1052.8800000000001"/>
    <n v="0.2"/>
    <x v="29"/>
    <n v="581.16999999999996"/>
    <s v="Cash"/>
  </r>
  <r>
    <x v="30"/>
    <x v="29"/>
    <x v="1"/>
    <x v="1"/>
    <x v="1"/>
    <s v="Printers"/>
    <n v="7"/>
    <n v="152.47"/>
    <n v="0.05"/>
    <x v="30"/>
    <n v="74.52"/>
    <s v="Cash"/>
  </r>
  <r>
    <x v="31"/>
    <x v="30"/>
    <x v="7"/>
    <x v="1"/>
    <x v="0"/>
    <s v="Paper"/>
    <n v="6"/>
    <n v="1222.58"/>
    <n v="0"/>
    <x v="31"/>
    <n v="435.27"/>
    <s v="Cash"/>
  </r>
  <r>
    <x v="32"/>
    <x v="31"/>
    <x v="0"/>
    <x v="1"/>
    <x v="0"/>
    <s v="Paper"/>
    <n v="1"/>
    <n v="1672.95"/>
    <n v="0.15"/>
    <x v="32"/>
    <n v="147.83000000000001"/>
    <s v="Net Banking"/>
  </r>
  <r>
    <x v="33"/>
    <x v="2"/>
    <x v="4"/>
    <x v="2"/>
    <x v="1"/>
    <s v="Laptops"/>
    <n v="4"/>
    <n v="881.57"/>
    <n v="0.1"/>
    <x v="33"/>
    <n v="664.43"/>
    <s v="Credit Card"/>
  </r>
  <r>
    <x v="34"/>
    <x v="32"/>
    <x v="1"/>
    <x v="0"/>
    <x v="1"/>
    <s v="Mobiles"/>
    <n v="3"/>
    <n v="1610.85"/>
    <n v="0.1"/>
    <x v="34"/>
    <n v="694.77"/>
    <s v="Credit Card"/>
  </r>
  <r>
    <x v="35"/>
    <x v="33"/>
    <x v="2"/>
    <x v="0"/>
    <x v="1"/>
    <s v="Laptops"/>
    <n v="7"/>
    <n v="913.8"/>
    <n v="0.15"/>
    <x v="35"/>
    <n v="827.73"/>
    <s v="Credit Card"/>
  </r>
  <r>
    <x v="36"/>
    <x v="34"/>
    <x v="1"/>
    <x v="2"/>
    <x v="0"/>
    <s v="Binders"/>
    <n v="6"/>
    <n v="1457.73"/>
    <n v="0.2"/>
    <x v="36"/>
    <n v="839.54"/>
    <s v="UPI"/>
  </r>
  <r>
    <x v="37"/>
    <x v="35"/>
    <x v="0"/>
    <x v="0"/>
    <x v="2"/>
    <s v="Tables"/>
    <n v="7"/>
    <n v="190.66"/>
    <n v="0.05"/>
    <x v="37"/>
    <n v="176.23"/>
    <s v="Credit Card"/>
  </r>
  <r>
    <x v="38"/>
    <x v="36"/>
    <x v="2"/>
    <x v="0"/>
    <x v="2"/>
    <s v="Tables"/>
    <n v="5"/>
    <n v="278.89999999999998"/>
    <n v="0.15"/>
    <x v="38"/>
    <n v="111.22"/>
    <s v="Net Banking"/>
  </r>
  <r>
    <x v="39"/>
    <x v="37"/>
    <x v="2"/>
    <x v="0"/>
    <x v="2"/>
    <s v="Bookcases"/>
    <n v="4"/>
    <n v="429.08"/>
    <n v="0.2"/>
    <x v="39"/>
    <n v="205.45"/>
    <s v="Credit Card"/>
  </r>
  <r>
    <x v="40"/>
    <x v="38"/>
    <x v="4"/>
    <x v="2"/>
    <x v="1"/>
    <s v="Printers"/>
    <n v="3"/>
    <n v="1055.96"/>
    <n v="0"/>
    <x v="40"/>
    <n v="585.55999999999995"/>
    <s v="Net Banking"/>
  </r>
  <r>
    <x v="41"/>
    <x v="14"/>
    <x v="3"/>
    <x v="1"/>
    <x v="0"/>
    <s v="Binders"/>
    <n v="1"/>
    <n v="1747.68"/>
    <n v="0.1"/>
    <x v="41"/>
    <n v="393.6"/>
    <s v="Net Banking"/>
  </r>
  <r>
    <x v="42"/>
    <x v="39"/>
    <x v="6"/>
    <x v="2"/>
    <x v="2"/>
    <s v="Chairs"/>
    <n v="3"/>
    <n v="1659.22"/>
    <n v="0.15"/>
    <x v="42"/>
    <n v="619.95000000000005"/>
    <s v="Cash"/>
  </r>
  <r>
    <x v="43"/>
    <x v="40"/>
    <x v="6"/>
    <x v="0"/>
    <x v="0"/>
    <s v="Paper"/>
    <n v="2"/>
    <n v="174.03"/>
    <n v="0.05"/>
    <x v="43"/>
    <n v="72.989999999999995"/>
    <s v="Net Banking"/>
  </r>
  <r>
    <x v="44"/>
    <x v="6"/>
    <x v="3"/>
    <x v="3"/>
    <x v="2"/>
    <s v="Tables"/>
    <n v="2"/>
    <n v="595.32000000000005"/>
    <n v="0.15"/>
    <x v="44"/>
    <n v="225.91"/>
    <s v="UPI"/>
  </r>
  <r>
    <x v="45"/>
    <x v="41"/>
    <x v="5"/>
    <x v="2"/>
    <x v="2"/>
    <s v="Chairs"/>
    <n v="5"/>
    <n v="1938.4"/>
    <n v="0.15"/>
    <x v="45"/>
    <n v="777.36"/>
    <s v="Net Banking"/>
  </r>
  <r>
    <x v="46"/>
    <x v="42"/>
    <x v="8"/>
    <x v="1"/>
    <x v="0"/>
    <s v="Paper"/>
    <n v="3"/>
    <n v="883.97"/>
    <n v="0.05"/>
    <x v="46"/>
    <n v="283.43"/>
    <s v="Cash"/>
  </r>
  <r>
    <x v="47"/>
    <x v="43"/>
    <x v="6"/>
    <x v="3"/>
    <x v="2"/>
    <s v="Chairs"/>
    <n v="7"/>
    <n v="1526.66"/>
    <n v="0"/>
    <x v="47"/>
    <n v="1170.81"/>
    <s v="Cash"/>
  </r>
  <r>
    <x v="48"/>
    <x v="44"/>
    <x v="9"/>
    <x v="2"/>
    <x v="2"/>
    <s v="Tables"/>
    <n v="3"/>
    <n v="839.48"/>
    <n v="0.15"/>
    <x v="48"/>
    <n v="620.02"/>
    <s v="Credit Card"/>
  </r>
  <r>
    <x v="49"/>
    <x v="45"/>
    <x v="5"/>
    <x v="2"/>
    <x v="0"/>
    <s v="Binders"/>
    <n v="4"/>
    <n v="1189.53"/>
    <n v="0.2"/>
    <x v="49"/>
    <n v="277.58999999999997"/>
    <s v="UPI"/>
  </r>
  <r>
    <x v="50"/>
    <x v="46"/>
    <x v="2"/>
    <x v="1"/>
    <x v="2"/>
    <s v="Chairs"/>
    <n v="7"/>
    <n v="1584.46"/>
    <n v="0.2"/>
    <x v="50"/>
    <n v="2508.6799999999998"/>
    <s v="Cash"/>
  </r>
  <r>
    <x v="51"/>
    <x v="47"/>
    <x v="3"/>
    <x v="1"/>
    <x v="0"/>
    <s v="Binders"/>
    <n v="5"/>
    <n v="1500.37"/>
    <n v="0.2"/>
    <x v="51"/>
    <n v="826.58"/>
    <s v="Net Banking"/>
  </r>
  <r>
    <x v="52"/>
    <x v="48"/>
    <x v="5"/>
    <x v="0"/>
    <x v="2"/>
    <s v="Tables"/>
    <n v="1"/>
    <n v="292.13"/>
    <n v="0.2"/>
    <x v="52"/>
    <n v="24.69"/>
    <s v="UPI"/>
  </r>
  <r>
    <x v="53"/>
    <x v="49"/>
    <x v="6"/>
    <x v="0"/>
    <x v="1"/>
    <s v="Mobiles"/>
    <n v="5"/>
    <n v="1075.32"/>
    <n v="0.1"/>
    <x v="53"/>
    <n v="945.17"/>
    <s v="Net Banking"/>
  </r>
  <r>
    <x v="54"/>
    <x v="50"/>
    <x v="9"/>
    <x v="3"/>
    <x v="2"/>
    <s v="Bookcases"/>
    <n v="7"/>
    <n v="1973.4"/>
    <n v="0.15"/>
    <x v="54"/>
    <n v="1615.13"/>
    <s v="Net Banking"/>
  </r>
  <r>
    <x v="55"/>
    <x v="51"/>
    <x v="3"/>
    <x v="2"/>
    <x v="1"/>
    <s v="Printers"/>
    <n v="3"/>
    <n v="311.27999999999997"/>
    <n v="0.1"/>
    <x v="55"/>
    <n v="95.32"/>
    <s v="Cash"/>
  </r>
  <r>
    <x v="56"/>
    <x v="52"/>
    <x v="5"/>
    <x v="1"/>
    <x v="1"/>
    <s v="Laptops"/>
    <n v="9"/>
    <n v="1514"/>
    <n v="0.1"/>
    <x v="56"/>
    <n v="2401.69"/>
    <s v="Net Banking"/>
  </r>
  <r>
    <x v="57"/>
    <x v="53"/>
    <x v="0"/>
    <x v="2"/>
    <x v="2"/>
    <s v="Chairs"/>
    <n v="8"/>
    <n v="1103.9000000000001"/>
    <n v="0.2"/>
    <x v="57"/>
    <n v="2054.54"/>
    <s v="Cash"/>
  </r>
  <r>
    <x v="58"/>
    <x v="54"/>
    <x v="3"/>
    <x v="1"/>
    <x v="2"/>
    <s v="Bookcases"/>
    <n v="5"/>
    <n v="580.67999999999995"/>
    <n v="0.1"/>
    <x v="58"/>
    <n v="763.87"/>
    <s v="Credit Card"/>
  </r>
  <r>
    <x v="59"/>
    <x v="55"/>
    <x v="5"/>
    <x v="1"/>
    <x v="2"/>
    <s v="Tables"/>
    <n v="1"/>
    <n v="1292.3599999999999"/>
    <n v="0.1"/>
    <x v="59"/>
    <n v="320.2"/>
    <s v="Net Banking"/>
  </r>
  <r>
    <x v="60"/>
    <x v="56"/>
    <x v="2"/>
    <x v="2"/>
    <x v="1"/>
    <s v="Mobiles"/>
    <n v="8"/>
    <n v="1278.25"/>
    <n v="0.05"/>
    <x v="60"/>
    <n v="942.62"/>
    <s v="Cash"/>
  </r>
  <r>
    <x v="61"/>
    <x v="57"/>
    <x v="6"/>
    <x v="3"/>
    <x v="1"/>
    <s v="Laptops"/>
    <n v="9"/>
    <n v="593.9"/>
    <n v="0.1"/>
    <x v="61"/>
    <n v="1080.18"/>
    <s v="Credit Card"/>
  </r>
  <r>
    <x v="62"/>
    <x v="12"/>
    <x v="0"/>
    <x v="1"/>
    <x v="2"/>
    <s v="Chairs"/>
    <n v="3"/>
    <n v="1662.82"/>
    <n v="0.05"/>
    <x v="62"/>
    <n v="730.57"/>
    <s v="Credit Card"/>
  </r>
  <r>
    <x v="63"/>
    <x v="58"/>
    <x v="1"/>
    <x v="2"/>
    <x v="1"/>
    <s v="Mobiles"/>
    <n v="8"/>
    <n v="1765.66"/>
    <n v="0.1"/>
    <x v="63"/>
    <n v="779.35"/>
    <s v="Credit Card"/>
  </r>
  <r>
    <x v="64"/>
    <x v="59"/>
    <x v="2"/>
    <x v="1"/>
    <x v="1"/>
    <s v="Laptops"/>
    <n v="2"/>
    <n v="1975.82"/>
    <n v="0"/>
    <x v="64"/>
    <n v="569.77"/>
    <s v="Credit Card"/>
  </r>
  <r>
    <x v="65"/>
    <x v="60"/>
    <x v="6"/>
    <x v="3"/>
    <x v="1"/>
    <s v="Printers"/>
    <n v="1"/>
    <n v="1692.82"/>
    <n v="0.05"/>
    <x v="65"/>
    <n v="95.21"/>
    <s v="Net Banking"/>
  </r>
  <r>
    <x v="66"/>
    <x v="61"/>
    <x v="0"/>
    <x v="1"/>
    <x v="0"/>
    <s v="Binders"/>
    <n v="1"/>
    <n v="1115.26"/>
    <n v="0.2"/>
    <x v="66"/>
    <n v="266.91000000000003"/>
    <s v="Credit Card"/>
  </r>
  <r>
    <x v="67"/>
    <x v="62"/>
    <x v="9"/>
    <x v="3"/>
    <x v="2"/>
    <s v="Chairs"/>
    <n v="3"/>
    <n v="569.96"/>
    <n v="0"/>
    <x v="67"/>
    <n v="140.71"/>
    <s v="Credit Card"/>
  </r>
  <r>
    <x v="68"/>
    <x v="63"/>
    <x v="8"/>
    <x v="1"/>
    <x v="1"/>
    <s v="Laptops"/>
    <n v="1"/>
    <n v="1538.3"/>
    <n v="0.05"/>
    <x v="68"/>
    <n v="203.92"/>
    <s v="Cash"/>
  </r>
  <r>
    <x v="69"/>
    <x v="64"/>
    <x v="6"/>
    <x v="0"/>
    <x v="1"/>
    <s v="Mobiles"/>
    <n v="6"/>
    <n v="1567.4"/>
    <n v="0.1"/>
    <x v="69"/>
    <n v="1074.45"/>
    <s v="Net Banking"/>
  </r>
  <r>
    <x v="70"/>
    <x v="65"/>
    <x v="3"/>
    <x v="1"/>
    <x v="2"/>
    <s v="Tables"/>
    <n v="9"/>
    <n v="1220.92"/>
    <n v="0.2"/>
    <x v="70"/>
    <n v="1802.75"/>
    <s v="UPI"/>
  </r>
  <r>
    <x v="71"/>
    <x v="66"/>
    <x v="9"/>
    <x v="1"/>
    <x v="0"/>
    <s v="Binders"/>
    <n v="2"/>
    <n v="766.12"/>
    <n v="0.05"/>
    <x v="71"/>
    <n v="304.45999999999998"/>
    <s v="Cash"/>
  </r>
  <r>
    <x v="72"/>
    <x v="67"/>
    <x v="2"/>
    <x v="1"/>
    <x v="2"/>
    <s v="Tables"/>
    <n v="1"/>
    <n v="1588.94"/>
    <n v="0.15"/>
    <x v="72"/>
    <n v="168.14"/>
    <s v="Credit Card"/>
  </r>
  <r>
    <x v="73"/>
    <x v="68"/>
    <x v="4"/>
    <x v="2"/>
    <x v="2"/>
    <s v="Chairs"/>
    <n v="4"/>
    <n v="972.76"/>
    <n v="0"/>
    <x v="73"/>
    <n v="673.26"/>
    <s v="Credit Card"/>
  </r>
  <r>
    <x v="74"/>
    <x v="69"/>
    <x v="9"/>
    <x v="1"/>
    <x v="1"/>
    <s v="Mobiles"/>
    <n v="5"/>
    <n v="760.09"/>
    <n v="0.1"/>
    <x v="74"/>
    <n v="666.68"/>
    <s v="Credit Card"/>
  </r>
  <r>
    <x v="75"/>
    <x v="70"/>
    <x v="8"/>
    <x v="3"/>
    <x v="0"/>
    <s v="Pens"/>
    <n v="6"/>
    <n v="1425.57"/>
    <n v="0.15"/>
    <x v="75"/>
    <n v="694.11"/>
    <s v="UPI"/>
  </r>
  <r>
    <x v="76"/>
    <x v="2"/>
    <x v="0"/>
    <x v="0"/>
    <x v="0"/>
    <s v="Pens"/>
    <n v="2"/>
    <n v="1243.68"/>
    <n v="0.1"/>
    <x v="76"/>
    <n v="134.80000000000001"/>
    <s v="Net Banking"/>
  </r>
  <r>
    <x v="77"/>
    <x v="8"/>
    <x v="2"/>
    <x v="0"/>
    <x v="1"/>
    <s v="Laptops"/>
    <n v="6"/>
    <n v="268.52999999999997"/>
    <n v="0"/>
    <x v="77"/>
    <n v="295.83"/>
    <s v="Cash"/>
  </r>
  <r>
    <x v="78"/>
    <x v="71"/>
    <x v="8"/>
    <x v="0"/>
    <x v="2"/>
    <s v="Tables"/>
    <n v="9"/>
    <n v="275.35000000000002"/>
    <n v="0"/>
    <x v="78"/>
    <n v="550.02"/>
    <s v="UPI"/>
  </r>
  <r>
    <x v="79"/>
    <x v="32"/>
    <x v="9"/>
    <x v="3"/>
    <x v="0"/>
    <s v="Paper"/>
    <n v="1"/>
    <n v="626.07000000000005"/>
    <n v="0"/>
    <x v="79"/>
    <n v="44.53"/>
    <s v="Net Banking"/>
  </r>
  <r>
    <x v="80"/>
    <x v="72"/>
    <x v="8"/>
    <x v="0"/>
    <x v="0"/>
    <s v="Pens"/>
    <n v="8"/>
    <n v="1020.59"/>
    <n v="0.05"/>
    <x v="80"/>
    <n v="1861.48"/>
    <s v="Credit Card"/>
  </r>
  <r>
    <x v="81"/>
    <x v="73"/>
    <x v="3"/>
    <x v="0"/>
    <x v="1"/>
    <s v="Mobiles"/>
    <n v="8"/>
    <n v="352.92"/>
    <n v="0.1"/>
    <x v="81"/>
    <n v="695.74"/>
    <s v="Cash"/>
  </r>
  <r>
    <x v="82"/>
    <x v="74"/>
    <x v="5"/>
    <x v="3"/>
    <x v="0"/>
    <s v="Pens"/>
    <n v="9"/>
    <n v="1501.07"/>
    <n v="0.15"/>
    <x v="82"/>
    <n v="631.78"/>
    <s v="UPI"/>
  </r>
  <r>
    <x v="83"/>
    <x v="75"/>
    <x v="2"/>
    <x v="1"/>
    <x v="1"/>
    <s v="Mobiles"/>
    <n v="9"/>
    <n v="1792"/>
    <n v="0.15"/>
    <x v="83"/>
    <n v="2309.83"/>
    <s v="Credit Card"/>
  </r>
  <r>
    <x v="84"/>
    <x v="76"/>
    <x v="8"/>
    <x v="3"/>
    <x v="2"/>
    <s v="Tables"/>
    <n v="4"/>
    <n v="1120.5"/>
    <n v="0.05"/>
    <x v="84"/>
    <n v="806.6"/>
    <s v="Net Banking"/>
  </r>
  <r>
    <x v="85"/>
    <x v="50"/>
    <x v="3"/>
    <x v="1"/>
    <x v="0"/>
    <s v="Binders"/>
    <n v="9"/>
    <n v="741.15"/>
    <n v="0.15"/>
    <x v="85"/>
    <n v="1199.04"/>
    <s v="Net Banking"/>
  </r>
  <r>
    <x v="86"/>
    <x v="77"/>
    <x v="0"/>
    <x v="0"/>
    <x v="0"/>
    <s v="Paper"/>
    <n v="6"/>
    <n v="1250.97"/>
    <n v="0"/>
    <x v="86"/>
    <n v="389.43"/>
    <s v="Cash"/>
  </r>
  <r>
    <x v="87"/>
    <x v="78"/>
    <x v="8"/>
    <x v="3"/>
    <x v="0"/>
    <s v="Binders"/>
    <n v="8"/>
    <n v="1803.85"/>
    <n v="0.1"/>
    <x v="87"/>
    <n v="2352.44"/>
    <s v="Net Banking"/>
  </r>
  <r>
    <x v="88"/>
    <x v="71"/>
    <x v="7"/>
    <x v="0"/>
    <x v="0"/>
    <s v="Binders"/>
    <n v="2"/>
    <n v="1194.4000000000001"/>
    <n v="0.1"/>
    <x v="88"/>
    <n v="572.69000000000005"/>
    <s v="Credit Card"/>
  </r>
  <r>
    <x v="89"/>
    <x v="31"/>
    <x v="8"/>
    <x v="0"/>
    <x v="1"/>
    <s v="Mobiles"/>
    <n v="3"/>
    <n v="1659.64"/>
    <n v="0.05"/>
    <x v="89"/>
    <n v="894.87"/>
    <s v="UPI"/>
  </r>
  <r>
    <x v="90"/>
    <x v="79"/>
    <x v="6"/>
    <x v="2"/>
    <x v="2"/>
    <s v="Chairs"/>
    <n v="6"/>
    <n v="1939.19"/>
    <n v="0.15"/>
    <x v="90"/>
    <n v="1546.37"/>
    <s v="Credit Card"/>
  </r>
  <r>
    <x v="91"/>
    <x v="80"/>
    <x v="9"/>
    <x v="3"/>
    <x v="0"/>
    <s v="Paper"/>
    <n v="6"/>
    <n v="1204.3499999999999"/>
    <n v="0.1"/>
    <x v="91"/>
    <n v="1840.51"/>
    <s v="Cash"/>
  </r>
  <r>
    <x v="92"/>
    <x v="81"/>
    <x v="8"/>
    <x v="0"/>
    <x v="1"/>
    <s v="Mobiles"/>
    <n v="5"/>
    <n v="220.41"/>
    <n v="0.15"/>
    <x v="92"/>
    <n v="94.08"/>
    <s v="Net Banking"/>
  </r>
  <r>
    <x v="93"/>
    <x v="82"/>
    <x v="8"/>
    <x v="0"/>
    <x v="2"/>
    <s v="Bookcases"/>
    <n v="5"/>
    <n v="105.15"/>
    <n v="0"/>
    <x v="93"/>
    <n v="104.58"/>
    <s v="UPI"/>
  </r>
  <r>
    <x v="94"/>
    <x v="83"/>
    <x v="0"/>
    <x v="2"/>
    <x v="0"/>
    <s v="Binders"/>
    <n v="1"/>
    <n v="1716.38"/>
    <n v="0.15"/>
    <x v="94"/>
    <n v="424.92"/>
    <s v="UPI"/>
  </r>
  <r>
    <x v="95"/>
    <x v="27"/>
    <x v="8"/>
    <x v="1"/>
    <x v="2"/>
    <s v="Tables"/>
    <n v="3"/>
    <n v="226.34"/>
    <n v="0.15"/>
    <x v="95"/>
    <n v="150.33000000000001"/>
    <s v="Credit Card"/>
  </r>
  <r>
    <x v="96"/>
    <x v="84"/>
    <x v="2"/>
    <x v="0"/>
    <x v="2"/>
    <s v="Tables"/>
    <n v="3"/>
    <n v="412.11"/>
    <n v="0.2"/>
    <x v="96"/>
    <n v="107.73"/>
    <s v="Net Banking"/>
  </r>
  <r>
    <x v="97"/>
    <x v="85"/>
    <x v="6"/>
    <x v="1"/>
    <x v="2"/>
    <s v="Chairs"/>
    <n v="9"/>
    <n v="1397.67"/>
    <n v="0.1"/>
    <x v="97"/>
    <n v="2332.4299999999998"/>
    <s v="UPI"/>
  </r>
  <r>
    <x v="98"/>
    <x v="18"/>
    <x v="8"/>
    <x v="2"/>
    <x v="0"/>
    <s v="Paper"/>
    <n v="9"/>
    <n v="775.19"/>
    <n v="0.05"/>
    <x v="98"/>
    <n v="1232.04"/>
    <s v="UPI"/>
  </r>
  <r>
    <x v="99"/>
    <x v="86"/>
    <x v="4"/>
    <x v="1"/>
    <x v="0"/>
    <s v="Pens"/>
    <n v="6"/>
    <n v="1885.68"/>
    <n v="0.1"/>
    <x v="99"/>
    <n v="1361.69"/>
    <s v="UPI"/>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CD8EF01-926E-4C1D-9CD9-8206C93D5A0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04" firstHeaderRow="1" firstDataRow="1" firstDataCol="1"/>
  <pivotFields count="15">
    <pivotField axis="axisRow"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numFmtId="14" showAll="0">
      <items count="88">
        <item x="58"/>
        <item x="85"/>
        <item x="46"/>
        <item x="81"/>
        <item x="6"/>
        <item x="24"/>
        <item x="54"/>
        <item x="79"/>
        <item x="65"/>
        <item x="28"/>
        <item x="57"/>
        <item x="34"/>
        <item x="50"/>
        <item x="59"/>
        <item x="36"/>
        <item x="29"/>
        <item x="83"/>
        <item x="4"/>
        <item x="56"/>
        <item x="10"/>
        <item x="44"/>
        <item x="52"/>
        <item x="11"/>
        <item x="0"/>
        <item x="60"/>
        <item x="3"/>
        <item x="7"/>
        <item x="86"/>
        <item x="14"/>
        <item x="40"/>
        <item x="15"/>
        <item x="13"/>
        <item x="80"/>
        <item x="22"/>
        <item x="66"/>
        <item x="42"/>
        <item x="30"/>
        <item x="33"/>
        <item x="31"/>
        <item x="5"/>
        <item x="32"/>
        <item x="63"/>
        <item x="20"/>
        <item x="67"/>
        <item x="55"/>
        <item x="74"/>
        <item x="73"/>
        <item x="8"/>
        <item x="78"/>
        <item x="64"/>
        <item x="26"/>
        <item x="75"/>
        <item x="47"/>
        <item x="37"/>
        <item x="71"/>
        <item x="25"/>
        <item x="17"/>
        <item x="61"/>
        <item x="53"/>
        <item x="48"/>
        <item x="68"/>
        <item x="2"/>
        <item x="43"/>
        <item x="21"/>
        <item x="77"/>
        <item x="19"/>
        <item x="72"/>
        <item x="82"/>
        <item x="70"/>
        <item x="39"/>
        <item x="16"/>
        <item x="62"/>
        <item x="23"/>
        <item x="45"/>
        <item x="38"/>
        <item x="84"/>
        <item x="41"/>
        <item x="9"/>
        <item x="76"/>
        <item x="51"/>
        <item x="18"/>
        <item x="27"/>
        <item x="49"/>
        <item x="1"/>
        <item x="69"/>
        <item x="12"/>
        <item x="35"/>
        <item t="default"/>
      </items>
    </pivotField>
    <pivotField showAll="0"/>
    <pivotField showAll="0"/>
    <pivotField showAll="0"/>
    <pivotField showAll="0"/>
    <pivotField showAll="0"/>
    <pivotField showAll="0"/>
    <pivotField showAll="0"/>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0"/>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Items count="1">
    <i/>
  </colItems>
  <dataFields count="1">
    <dataField name="Sum of Total Sales" fld="9" baseField="0" baseItem="0"/>
  </dataField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84FEB35-E20A-4B79-BBBF-F1A35EA9035C}"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16:I29" firstHeaderRow="1" firstDataRow="1" firstDataCol="1"/>
  <pivotFields count="15">
    <pivotField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axis="axisRow" numFmtId="14" showAll="0">
      <items count="88">
        <item x="58"/>
        <item x="85"/>
        <item x="46"/>
        <item x="81"/>
        <item x="6"/>
        <item x="24"/>
        <item x="54"/>
        <item x="79"/>
        <item x="65"/>
        <item x="28"/>
        <item x="57"/>
        <item x="34"/>
        <item x="50"/>
        <item x="59"/>
        <item x="36"/>
        <item x="29"/>
        <item x="83"/>
        <item x="4"/>
        <item x="56"/>
        <item x="10"/>
        <item x="44"/>
        <item x="52"/>
        <item x="11"/>
        <item x="0"/>
        <item x="60"/>
        <item x="3"/>
        <item x="7"/>
        <item x="86"/>
        <item x="14"/>
        <item x="40"/>
        <item x="15"/>
        <item x="13"/>
        <item x="80"/>
        <item x="22"/>
        <item x="66"/>
        <item x="42"/>
        <item x="30"/>
        <item x="33"/>
        <item x="31"/>
        <item x="5"/>
        <item x="32"/>
        <item x="63"/>
        <item x="20"/>
        <item x="67"/>
        <item x="55"/>
        <item x="74"/>
        <item x="73"/>
        <item x="8"/>
        <item x="78"/>
        <item x="64"/>
        <item x="26"/>
        <item x="75"/>
        <item x="47"/>
        <item x="37"/>
        <item x="71"/>
        <item x="25"/>
        <item x="17"/>
        <item x="61"/>
        <item x="53"/>
        <item x="48"/>
        <item x="68"/>
        <item x="2"/>
        <item x="43"/>
        <item x="21"/>
        <item x="77"/>
        <item x="19"/>
        <item x="72"/>
        <item x="82"/>
        <item x="70"/>
        <item x="39"/>
        <item x="16"/>
        <item x="62"/>
        <item x="23"/>
        <item x="45"/>
        <item x="38"/>
        <item x="84"/>
        <item x="41"/>
        <item x="9"/>
        <item x="76"/>
        <item x="51"/>
        <item x="18"/>
        <item x="27"/>
        <item x="49"/>
        <item x="1"/>
        <item x="69"/>
        <item x="12"/>
        <item x="35"/>
        <item t="default"/>
      </items>
    </pivotField>
    <pivotField showAll="0">
      <items count="11">
        <item sd="0" x="6"/>
        <item sd="0" x="0"/>
        <item sd="0" x="8"/>
        <item sd="0" x="7"/>
        <item sd="0" x="4"/>
        <item sd="0" x="5"/>
        <item sd="0" x="9"/>
        <item sd="0" x="2"/>
        <item sd="0" x="3"/>
        <item sd="0" x="1"/>
        <item t="default"/>
      </items>
    </pivotField>
    <pivotField showAll="0">
      <items count="5">
        <item x="1"/>
        <item x="3"/>
        <item x="0"/>
        <item x="2"/>
        <item t="default"/>
      </items>
    </pivotField>
    <pivotField showAll="0"/>
    <pivotField showAll="0"/>
    <pivotField showAll="0"/>
    <pivotField showAll="0"/>
    <pivotField showAll="0"/>
    <pivotField dataField="1"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dragToRow="0" dragToCol="0" dragToPage="0" showAll="0" defaultSubtotal="0"/>
  </pivotFields>
  <rowFields count="2">
    <field x="13"/>
    <field x="1"/>
  </rowFields>
  <rowItems count="13">
    <i>
      <x v="1"/>
    </i>
    <i>
      <x v="2"/>
    </i>
    <i>
      <x v="3"/>
    </i>
    <i>
      <x v="4"/>
    </i>
    <i>
      <x v="5"/>
    </i>
    <i>
      <x v="6"/>
    </i>
    <i>
      <x v="7"/>
    </i>
    <i>
      <x v="8"/>
    </i>
    <i>
      <x v="9"/>
    </i>
    <i>
      <x v="10"/>
    </i>
    <i>
      <x v="11"/>
    </i>
    <i>
      <x v="12"/>
    </i>
    <i t="grand">
      <x/>
    </i>
  </rowItems>
  <colItems count="1">
    <i/>
  </colItems>
  <dataFields count="1">
    <dataField name="Sum of Total Sales"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0D46F52-001E-4CCF-902E-BD18CA4ECE5D}"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2:P14" firstHeaderRow="1" firstDataRow="2" firstDataCol="1"/>
  <pivotFields count="15">
    <pivotField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numFmtId="14" showAll="0">
      <items count="88">
        <item x="58"/>
        <item x="85"/>
        <item x="46"/>
        <item x="81"/>
        <item x="6"/>
        <item x="24"/>
        <item x="54"/>
        <item x="79"/>
        <item x="65"/>
        <item x="28"/>
        <item x="57"/>
        <item x="34"/>
        <item x="50"/>
        <item x="59"/>
        <item x="36"/>
        <item x="29"/>
        <item x="83"/>
        <item x="4"/>
        <item x="56"/>
        <item x="10"/>
        <item x="44"/>
        <item x="52"/>
        <item x="11"/>
        <item x="0"/>
        <item x="60"/>
        <item x="3"/>
        <item x="7"/>
        <item x="86"/>
        <item x="14"/>
        <item x="40"/>
        <item x="15"/>
        <item x="13"/>
        <item x="80"/>
        <item x="22"/>
        <item x="66"/>
        <item x="42"/>
        <item x="30"/>
        <item x="33"/>
        <item x="31"/>
        <item x="5"/>
        <item x="32"/>
        <item x="63"/>
        <item x="20"/>
        <item x="67"/>
        <item x="55"/>
        <item x="74"/>
        <item x="73"/>
        <item x="8"/>
        <item x="78"/>
        <item x="64"/>
        <item x="26"/>
        <item x="75"/>
        <item x="47"/>
        <item x="37"/>
        <item x="71"/>
        <item x="25"/>
        <item x="17"/>
        <item x="61"/>
        <item x="53"/>
        <item x="48"/>
        <item x="68"/>
        <item x="2"/>
        <item x="43"/>
        <item x="21"/>
        <item x="77"/>
        <item x="19"/>
        <item x="72"/>
        <item x="82"/>
        <item x="70"/>
        <item x="39"/>
        <item x="16"/>
        <item x="62"/>
        <item x="23"/>
        <item x="45"/>
        <item x="38"/>
        <item x="84"/>
        <item x="41"/>
        <item x="9"/>
        <item x="76"/>
        <item x="51"/>
        <item x="18"/>
        <item x="27"/>
        <item x="49"/>
        <item x="1"/>
        <item x="69"/>
        <item x="12"/>
        <item x="35"/>
        <item t="default"/>
      </items>
    </pivotField>
    <pivotField axis="axisRow" showAll="0">
      <items count="11">
        <item sd="0" x="6"/>
        <item sd="0" x="0"/>
        <item sd="0" x="8"/>
        <item sd="0" x="7"/>
        <item sd="0" x="4"/>
        <item sd="0" x="5"/>
        <item sd="0" x="9"/>
        <item sd="0" x="2"/>
        <item sd="0" x="3"/>
        <item sd="0" x="1"/>
        <item t="default"/>
      </items>
    </pivotField>
    <pivotField axis="axisCol" showAll="0">
      <items count="5">
        <item x="1"/>
        <item x="3"/>
        <item x="0"/>
        <item x="2"/>
        <item t="default"/>
      </items>
    </pivotField>
    <pivotField showAll="0"/>
    <pivotField showAll="0"/>
    <pivotField showAll="0"/>
    <pivotField showAll="0"/>
    <pivotField showAll="0"/>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2"/>
  </rowFields>
  <rowItems count="11">
    <i>
      <x/>
    </i>
    <i>
      <x v="1"/>
    </i>
    <i>
      <x v="2"/>
    </i>
    <i>
      <x v="3"/>
    </i>
    <i>
      <x v="4"/>
    </i>
    <i>
      <x v="5"/>
    </i>
    <i>
      <x v="6"/>
    </i>
    <i>
      <x v="7"/>
    </i>
    <i>
      <x v="8"/>
    </i>
    <i>
      <x v="9"/>
    </i>
    <i t="grand">
      <x/>
    </i>
  </rowItems>
  <colFields count="1">
    <field x="3"/>
  </colFields>
  <colItems count="5">
    <i>
      <x/>
    </i>
    <i>
      <x v="1"/>
    </i>
    <i>
      <x v="2"/>
    </i>
    <i>
      <x v="3"/>
    </i>
    <i t="grand">
      <x/>
    </i>
  </colItems>
  <dataFields count="1">
    <dataField name="Sum of Total Sales"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DD21CA2-95F6-4235-A941-31D5F800B4D8}"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3:I14" firstHeaderRow="1" firstDataRow="1" firstDataCol="1"/>
  <pivotFields count="15">
    <pivotField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numFmtId="14" showAll="0">
      <items count="88">
        <item x="58"/>
        <item x="85"/>
        <item x="46"/>
        <item x="81"/>
        <item x="6"/>
        <item x="24"/>
        <item x="54"/>
        <item x="79"/>
        <item x="65"/>
        <item x="28"/>
        <item x="57"/>
        <item x="34"/>
        <item x="50"/>
        <item x="59"/>
        <item x="36"/>
        <item x="29"/>
        <item x="83"/>
        <item x="4"/>
        <item x="56"/>
        <item x="10"/>
        <item x="44"/>
        <item x="52"/>
        <item x="11"/>
        <item x="0"/>
        <item x="60"/>
        <item x="3"/>
        <item x="7"/>
        <item x="86"/>
        <item x="14"/>
        <item x="40"/>
        <item x="15"/>
        <item x="13"/>
        <item x="80"/>
        <item x="22"/>
        <item x="66"/>
        <item x="42"/>
        <item x="30"/>
        <item x="33"/>
        <item x="31"/>
        <item x="5"/>
        <item x="32"/>
        <item x="63"/>
        <item x="20"/>
        <item x="67"/>
        <item x="55"/>
        <item x="74"/>
        <item x="73"/>
        <item x="8"/>
        <item x="78"/>
        <item x="64"/>
        <item x="26"/>
        <item x="75"/>
        <item x="47"/>
        <item x="37"/>
        <item x="71"/>
        <item x="25"/>
        <item x="17"/>
        <item x="61"/>
        <item x="53"/>
        <item x="48"/>
        <item x="68"/>
        <item x="2"/>
        <item x="43"/>
        <item x="21"/>
        <item x="77"/>
        <item x="19"/>
        <item x="72"/>
        <item x="82"/>
        <item x="70"/>
        <item x="39"/>
        <item x="16"/>
        <item x="62"/>
        <item x="23"/>
        <item x="45"/>
        <item x="38"/>
        <item x="84"/>
        <item x="41"/>
        <item x="9"/>
        <item x="76"/>
        <item x="51"/>
        <item x="18"/>
        <item x="27"/>
        <item x="49"/>
        <item x="1"/>
        <item x="69"/>
        <item x="12"/>
        <item x="35"/>
        <item t="default"/>
      </items>
    </pivotField>
    <pivotField axis="axisRow" showAll="0">
      <items count="11">
        <item sd="0" x="6"/>
        <item sd="0" x="0"/>
        <item sd="0" x="8"/>
        <item sd="0" x="7"/>
        <item sd="0" x="4"/>
        <item sd="0" x="5"/>
        <item sd="0" x="9"/>
        <item sd="0" x="2"/>
        <item sd="0" x="3"/>
        <item sd="0" x="1"/>
        <item t="default"/>
      </items>
    </pivotField>
    <pivotField axis="axisRow" showAll="0">
      <items count="5">
        <item x="1"/>
        <item x="3"/>
        <item x="0"/>
        <item x="2"/>
        <item t="default"/>
      </items>
    </pivotField>
    <pivotField showAll="0"/>
    <pivotField showAll="0"/>
    <pivotField showAll="0"/>
    <pivotField showAll="0"/>
    <pivotField showAll="0"/>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2">
    <field x="2"/>
    <field x="3"/>
  </rowFields>
  <rowItems count="11">
    <i>
      <x/>
    </i>
    <i>
      <x v="1"/>
    </i>
    <i>
      <x v="2"/>
    </i>
    <i>
      <x v="3"/>
    </i>
    <i>
      <x v="4"/>
    </i>
    <i>
      <x v="5"/>
    </i>
    <i>
      <x v="6"/>
    </i>
    <i>
      <x v="7"/>
    </i>
    <i>
      <x v="8"/>
    </i>
    <i>
      <x v="9"/>
    </i>
    <i t="grand">
      <x/>
    </i>
  </rowItems>
  <colItems count="1">
    <i/>
  </colItems>
  <dataFields count="1">
    <dataField name="Sum of Total Sales"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3902A4D-8872-4D3B-B08F-568A9A29ACDA}"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34:M38" firstHeaderRow="1" firstDataRow="1" firstDataCol="1"/>
  <pivotFields count="15">
    <pivotField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numFmtId="14" showAll="0">
      <items count="88">
        <item x="58"/>
        <item x="85"/>
        <item x="46"/>
        <item x="81"/>
        <item x="6"/>
        <item x="24"/>
        <item x="54"/>
        <item x="79"/>
        <item x="65"/>
        <item x="28"/>
        <item x="57"/>
        <item x="34"/>
        <item x="50"/>
        <item x="59"/>
        <item x="36"/>
        <item x="29"/>
        <item x="83"/>
        <item x="4"/>
        <item x="56"/>
        <item x="10"/>
        <item x="44"/>
        <item x="52"/>
        <item x="11"/>
        <item x="0"/>
        <item x="60"/>
        <item x="3"/>
        <item x="7"/>
        <item x="86"/>
        <item x="14"/>
        <item x="40"/>
        <item x="15"/>
        <item x="13"/>
        <item x="80"/>
        <item x="22"/>
        <item x="66"/>
        <item x="42"/>
        <item x="30"/>
        <item x="33"/>
        <item x="31"/>
        <item x="5"/>
        <item x="32"/>
        <item x="63"/>
        <item x="20"/>
        <item x="67"/>
        <item x="55"/>
        <item x="74"/>
        <item x="73"/>
        <item x="8"/>
        <item x="78"/>
        <item x="64"/>
        <item x="26"/>
        <item x="75"/>
        <item x="47"/>
        <item x="37"/>
        <item x="71"/>
        <item x="25"/>
        <item x="17"/>
        <item x="61"/>
        <item x="53"/>
        <item x="48"/>
        <item x="68"/>
        <item x="2"/>
        <item x="43"/>
        <item x="21"/>
        <item x="77"/>
        <item x="19"/>
        <item x="72"/>
        <item x="82"/>
        <item x="70"/>
        <item x="39"/>
        <item x="16"/>
        <item x="62"/>
        <item x="23"/>
        <item x="45"/>
        <item x="38"/>
        <item x="84"/>
        <item x="41"/>
        <item x="9"/>
        <item x="76"/>
        <item x="51"/>
        <item x="18"/>
        <item x="27"/>
        <item x="49"/>
        <item x="1"/>
        <item x="69"/>
        <item x="12"/>
        <item x="35"/>
        <item t="default"/>
      </items>
    </pivotField>
    <pivotField axis="axisRow" showAll="0" measureFilter="1" sortType="descending">
      <items count="11">
        <item sd="0" x="6"/>
        <item sd="0" x="0"/>
        <item sd="0" x="8"/>
        <item sd="0" x="7"/>
        <item sd="0" x="4"/>
        <item sd="0" x="5"/>
        <item sd="0" x="9"/>
        <item sd="0" x="2"/>
        <item sd="0" x="3"/>
        <item sd="0" x="1"/>
        <item t="default"/>
      </items>
      <autoSortScope>
        <pivotArea dataOnly="0" outline="0" fieldPosition="0">
          <references count="1">
            <reference field="4294967294" count="1" selected="0">
              <x v="0"/>
            </reference>
          </references>
        </pivotArea>
      </autoSortScope>
    </pivotField>
    <pivotField showAll="0">
      <items count="5">
        <item x="1"/>
        <item x="3"/>
        <item x="0"/>
        <item x="2"/>
        <item t="default"/>
      </items>
    </pivotField>
    <pivotField showAll="0"/>
    <pivotField showAll="0"/>
    <pivotField dataField="1" showAll="0"/>
    <pivotField showAll="0"/>
    <pivotField showAll="0"/>
    <pivotField showAll="0">
      <items count="101">
        <item x="52"/>
        <item x="43"/>
        <item x="23"/>
        <item x="14"/>
        <item x="93"/>
        <item x="95"/>
        <item x="21"/>
        <item x="79"/>
        <item x="55"/>
        <item x="66"/>
        <item x="92"/>
        <item x="11"/>
        <item x="96"/>
        <item x="44"/>
        <item x="30"/>
        <item x="59"/>
        <item x="38"/>
        <item x="37"/>
        <item x="72"/>
        <item x="39"/>
        <item x="32"/>
        <item x="71"/>
        <item x="94"/>
        <item x="68"/>
        <item x="16"/>
        <item x="41"/>
        <item x="65"/>
        <item x="77"/>
        <item x="67"/>
        <item x="48"/>
        <item x="88"/>
        <item x="26"/>
        <item x="76"/>
        <item x="27"/>
        <item x="10"/>
        <item x="78"/>
        <item x="46"/>
        <item x="81"/>
        <item x="8"/>
        <item x="58"/>
        <item x="9"/>
        <item x="40"/>
        <item x="33"/>
        <item x="20"/>
        <item x="74"/>
        <item x="28"/>
        <item x="49"/>
        <item x="73"/>
        <item x="0"/>
        <item x="64"/>
        <item x="42"/>
        <item x="84"/>
        <item x="34"/>
        <item x="2"/>
        <item x="89"/>
        <item x="62"/>
        <item x="61"/>
        <item x="53"/>
        <item x="25"/>
        <item x="13"/>
        <item x="3"/>
        <item x="35"/>
        <item x="4"/>
        <item x="85"/>
        <item x="29"/>
        <item x="51"/>
        <item x="15"/>
        <item x="91"/>
        <item x="98"/>
        <item x="5"/>
        <item x="36"/>
        <item x="57"/>
        <item x="75"/>
        <item x="31"/>
        <item x="6"/>
        <item x="86"/>
        <item x="24"/>
        <item x="80"/>
        <item x="17"/>
        <item x="45"/>
        <item x="69"/>
        <item x="12"/>
        <item x="70"/>
        <item x="50"/>
        <item x="60"/>
        <item x="19"/>
        <item x="90"/>
        <item x="99"/>
        <item x="1"/>
        <item x="22"/>
        <item x="47"/>
        <item x="97"/>
        <item x="82"/>
        <item x="54"/>
        <item x="18"/>
        <item x="56"/>
        <item x="7"/>
        <item x="63"/>
        <item x="87"/>
        <item x="83"/>
        <item t="default"/>
      </items>
    </pivotField>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2"/>
  </rowFields>
  <rowItems count="4">
    <i>
      <x v="2"/>
    </i>
    <i>
      <x v="7"/>
    </i>
    <i>
      <x v="8"/>
    </i>
    <i t="grand">
      <x/>
    </i>
  </rowItems>
  <colItems count="1">
    <i/>
  </colItems>
  <dataFields count="1">
    <dataField name="Sum of Quantity" fld="6" showDataAs="percentOfCol" baseField="0" baseItem="0" numFmtId="10"/>
  </dataFields>
  <pivotTableStyleInfo name="PivotStyleLight16" showRowHeaders="1" showColHeaders="1" showRowStripes="0" showColStripes="0" showLastColumn="1"/>
  <filters count="1">
    <filter fld="2" type="count" evalOrder="-1" id="1"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5A69EAD-4BDC-4092-A3F6-E793FAF5DC02}"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37:J50" firstHeaderRow="0" firstDataRow="1" firstDataCol="1"/>
  <pivotFields count="15">
    <pivotField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axis="axisRow" numFmtId="14" showAll="0">
      <items count="88">
        <item x="58"/>
        <item x="85"/>
        <item x="46"/>
        <item x="81"/>
        <item x="6"/>
        <item x="24"/>
        <item x="54"/>
        <item x="79"/>
        <item x="65"/>
        <item x="28"/>
        <item x="57"/>
        <item x="34"/>
        <item x="50"/>
        <item x="59"/>
        <item x="36"/>
        <item x="29"/>
        <item x="83"/>
        <item x="4"/>
        <item x="56"/>
        <item x="10"/>
        <item x="44"/>
        <item x="52"/>
        <item x="11"/>
        <item x="0"/>
        <item x="60"/>
        <item x="3"/>
        <item x="7"/>
        <item x="86"/>
        <item x="14"/>
        <item x="40"/>
        <item x="15"/>
        <item x="13"/>
        <item x="80"/>
        <item x="22"/>
        <item x="66"/>
        <item x="42"/>
        <item x="30"/>
        <item x="33"/>
        <item x="31"/>
        <item x="5"/>
        <item x="32"/>
        <item x="63"/>
        <item x="20"/>
        <item x="67"/>
        <item x="55"/>
        <item x="74"/>
        <item x="73"/>
        <item x="8"/>
        <item x="78"/>
        <item x="64"/>
        <item x="26"/>
        <item x="75"/>
        <item x="47"/>
        <item x="37"/>
        <item x="71"/>
        <item x="25"/>
        <item x="17"/>
        <item x="61"/>
        <item x="53"/>
        <item x="48"/>
        <item x="68"/>
        <item x="2"/>
        <item x="43"/>
        <item x="21"/>
        <item x="77"/>
        <item x="19"/>
        <item x="72"/>
        <item x="82"/>
        <item x="70"/>
        <item x="39"/>
        <item x="16"/>
        <item x="62"/>
        <item x="23"/>
        <item x="45"/>
        <item x="38"/>
        <item x="84"/>
        <item x="41"/>
        <item x="9"/>
        <item x="76"/>
        <item x="51"/>
        <item x="18"/>
        <item x="27"/>
        <item x="49"/>
        <item x="1"/>
        <item x="69"/>
        <item x="12"/>
        <item x="35"/>
        <item t="default"/>
      </items>
    </pivotField>
    <pivotField showAll="0">
      <items count="11">
        <item sd="0" x="6"/>
        <item sd="0" x="0"/>
        <item sd="0" x="8"/>
        <item sd="0" x="7"/>
        <item sd="0" x="4"/>
        <item sd="0" x="5"/>
        <item sd="0" x="9"/>
        <item sd="0" x="2"/>
        <item sd="0" x="3"/>
        <item sd="0" x="1"/>
        <item t="default"/>
      </items>
    </pivotField>
    <pivotField showAll="0">
      <items count="5">
        <item x="1"/>
        <item x="3"/>
        <item x="0"/>
        <item x="2"/>
        <item t="default"/>
      </items>
    </pivotField>
    <pivotField showAll="0"/>
    <pivotField showAll="0"/>
    <pivotField showAll="0"/>
    <pivotField showAll="0"/>
    <pivotField showAll="0"/>
    <pivotField dataField="1"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dataField="1" dragToRow="0" dragToCol="0" dragToPage="0" showAll="0" defaultSubtotal="0"/>
  </pivotFields>
  <rowFields count="2">
    <field x="13"/>
    <field x="1"/>
  </rowFields>
  <rowItems count="13">
    <i>
      <x v="1"/>
    </i>
    <i>
      <x v="2"/>
    </i>
    <i>
      <x v="3"/>
    </i>
    <i>
      <x v="4"/>
    </i>
    <i>
      <x v="5"/>
    </i>
    <i>
      <x v="6"/>
    </i>
    <i>
      <x v="7"/>
    </i>
    <i>
      <x v="8"/>
    </i>
    <i>
      <x v="9"/>
    </i>
    <i>
      <x v="10"/>
    </i>
    <i>
      <x v="11"/>
    </i>
    <i>
      <x v="12"/>
    </i>
    <i t="grand">
      <x/>
    </i>
  </rowItems>
  <colFields count="1">
    <field x="-2"/>
  </colFields>
  <colItems count="2">
    <i>
      <x/>
    </i>
    <i i="1">
      <x v="1"/>
    </i>
  </colItems>
  <dataFields count="2">
    <dataField name="Sum of Total Sales" fld="9" baseField="0" baseItem="0"/>
    <dataField name="Sum of Field1"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37F0566-D0D0-4D37-B21F-E9B15C0E6D5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E14" firstHeaderRow="1" firstDataRow="1" firstDataCol="1"/>
  <pivotFields count="15">
    <pivotField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numFmtId="14" showAll="0">
      <items count="88">
        <item x="58"/>
        <item x="85"/>
        <item x="46"/>
        <item x="81"/>
        <item x="6"/>
        <item x="24"/>
        <item x="54"/>
        <item x="79"/>
        <item x="65"/>
        <item x="28"/>
        <item x="57"/>
        <item x="34"/>
        <item x="50"/>
        <item x="59"/>
        <item x="36"/>
        <item x="29"/>
        <item x="83"/>
        <item x="4"/>
        <item x="56"/>
        <item x="10"/>
        <item x="44"/>
        <item x="52"/>
        <item x="11"/>
        <item x="0"/>
        <item x="60"/>
        <item x="3"/>
        <item x="7"/>
        <item x="86"/>
        <item x="14"/>
        <item x="40"/>
        <item x="15"/>
        <item x="13"/>
        <item x="80"/>
        <item x="22"/>
        <item x="66"/>
        <item x="42"/>
        <item x="30"/>
        <item x="33"/>
        <item x="31"/>
        <item x="5"/>
        <item x="32"/>
        <item x="63"/>
        <item x="20"/>
        <item x="67"/>
        <item x="55"/>
        <item x="74"/>
        <item x="73"/>
        <item x="8"/>
        <item x="78"/>
        <item x="64"/>
        <item x="26"/>
        <item x="75"/>
        <item x="47"/>
        <item x="37"/>
        <item x="71"/>
        <item x="25"/>
        <item x="17"/>
        <item x="61"/>
        <item x="53"/>
        <item x="48"/>
        <item x="68"/>
        <item x="2"/>
        <item x="43"/>
        <item x="21"/>
        <item x="77"/>
        <item x="19"/>
        <item x="72"/>
        <item x="82"/>
        <item x="70"/>
        <item x="39"/>
        <item x="16"/>
        <item x="62"/>
        <item x="23"/>
        <item x="45"/>
        <item x="38"/>
        <item x="84"/>
        <item x="41"/>
        <item x="9"/>
        <item x="76"/>
        <item x="51"/>
        <item x="18"/>
        <item x="27"/>
        <item x="49"/>
        <item x="1"/>
        <item x="69"/>
        <item x="12"/>
        <item x="35"/>
        <item t="default"/>
      </items>
    </pivotField>
    <pivotField axis="axisRow" showAll="0">
      <items count="11">
        <item x="6"/>
        <item x="0"/>
        <item x="8"/>
        <item x="7"/>
        <item x="4"/>
        <item x="5"/>
        <item x="9"/>
        <item x="2"/>
        <item x="3"/>
        <item x="1"/>
        <item t="default"/>
      </items>
    </pivotField>
    <pivotField showAll="0"/>
    <pivotField showAll="0"/>
    <pivotField showAll="0"/>
    <pivotField showAll="0"/>
    <pivotField showAll="0"/>
    <pivotField showAll="0"/>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2"/>
  </rowFields>
  <rowItems count="11">
    <i>
      <x/>
    </i>
    <i>
      <x v="1"/>
    </i>
    <i>
      <x v="2"/>
    </i>
    <i>
      <x v="3"/>
    </i>
    <i>
      <x v="4"/>
    </i>
    <i>
      <x v="5"/>
    </i>
    <i>
      <x v="6"/>
    </i>
    <i>
      <x v="7"/>
    </i>
    <i>
      <x v="8"/>
    </i>
    <i>
      <x v="9"/>
    </i>
    <i t="grand">
      <x/>
    </i>
  </rowItems>
  <colItems count="1">
    <i/>
  </colItems>
  <dataFields count="1">
    <dataField name="Sum of Total Sales"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3BAC97E-A317-46EC-BBFC-64777885480C}"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16:M30" firstHeaderRow="1" firstDataRow="2" firstDataCol="1"/>
  <pivotFields count="15">
    <pivotField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numFmtId="14" showAll="0">
      <items count="88">
        <item x="58"/>
        <item x="85"/>
        <item x="46"/>
        <item x="81"/>
        <item x="6"/>
        <item x="24"/>
        <item x="54"/>
        <item x="79"/>
        <item x="65"/>
        <item x="28"/>
        <item x="57"/>
        <item x="34"/>
        <item x="50"/>
        <item x="59"/>
        <item x="36"/>
        <item x="29"/>
        <item x="83"/>
        <item x="4"/>
        <item x="56"/>
        <item x="10"/>
        <item x="44"/>
        <item x="52"/>
        <item x="11"/>
        <item x="0"/>
        <item x="60"/>
        <item x="3"/>
        <item x="7"/>
        <item x="86"/>
        <item x="14"/>
        <item x="40"/>
        <item x="15"/>
        <item x="13"/>
        <item x="80"/>
        <item x="22"/>
        <item x="66"/>
        <item x="42"/>
        <item x="30"/>
        <item x="33"/>
        <item x="31"/>
        <item x="5"/>
        <item x="32"/>
        <item x="63"/>
        <item x="20"/>
        <item x="67"/>
        <item x="55"/>
        <item x="74"/>
        <item x="73"/>
        <item x="8"/>
        <item x="78"/>
        <item x="64"/>
        <item x="26"/>
        <item x="75"/>
        <item x="47"/>
        <item x="37"/>
        <item x="71"/>
        <item x="25"/>
        <item x="17"/>
        <item x="61"/>
        <item x="53"/>
        <item x="48"/>
        <item x="68"/>
        <item x="2"/>
        <item x="43"/>
        <item x="21"/>
        <item x="77"/>
        <item x="19"/>
        <item x="72"/>
        <item x="82"/>
        <item x="70"/>
        <item x="39"/>
        <item x="16"/>
        <item x="62"/>
        <item x="23"/>
        <item x="45"/>
        <item x="38"/>
        <item x="84"/>
        <item x="41"/>
        <item x="9"/>
        <item x="76"/>
        <item x="51"/>
        <item x="18"/>
        <item x="27"/>
        <item x="49"/>
        <item x="1"/>
        <item x="69"/>
        <item x="12"/>
        <item x="35"/>
        <item t="default"/>
      </items>
    </pivotField>
    <pivotField axis="axisRow" showAll="0">
      <items count="11">
        <item x="6"/>
        <item x="0"/>
        <item x="8"/>
        <item sd="0" x="7"/>
        <item x="4"/>
        <item sd="0" x="5"/>
        <item sd="0" x="9"/>
        <item x="2"/>
        <item x="3"/>
        <item x="1"/>
        <item t="default"/>
      </items>
    </pivotField>
    <pivotField axis="axisRow" showAll="0">
      <items count="5">
        <item h="1" x="1"/>
        <item h="1" x="3"/>
        <item x="0"/>
        <item h="1" x="2"/>
        <item t="default"/>
      </items>
    </pivotField>
    <pivotField axis="axisCol" showAll="0">
      <items count="4">
        <item h="1" x="2"/>
        <item h="1" x="0"/>
        <item x="1"/>
        <item t="default"/>
      </items>
    </pivotField>
    <pivotField showAll="0"/>
    <pivotField showAll="0"/>
    <pivotField showAll="0"/>
    <pivotField showAll="0"/>
    <pivotField dataField="1"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dragToRow="0" dragToCol="0" dragToPage="0" showAll="0" defaultSubtotal="0"/>
  </pivotFields>
  <rowFields count="2">
    <field x="2"/>
    <field x="3"/>
  </rowFields>
  <rowItems count="13">
    <i>
      <x/>
    </i>
    <i r="1">
      <x v="2"/>
    </i>
    <i>
      <x v="2"/>
    </i>
    <i r="1">
      <x v="2"/>
    </i>
    <i>
      <x v="4"/>
    </i>
    <i r="1">
      <x v="2"/>
    </i>
    <i>
      <x v="7"/>
    </i>
    <i r="1">
      <x v="2"/>
    </i>
    <i>
      <x v="8"/>
    </i>
    <i r="1">
      <x v="2"/>
    </i>
    <i>
      <x v="9"/>
    </i>
    <i r="1">
      <x v="2"/>
    </i>
    <i t="grand">
      <x/>
    </i>
  </rowItems>
  <colFields count="1">
    <field x="4"/>
  </colFields>
  <colItems count="2">
    <i>
      <x v="2"/>
    </i>
    <i t="grand">
      <x/>
    </i>
  </colItems>
  <dataFields count="1">
    <dataField name="Sum of Total Sales"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2CF91B3-93D3-447B-AA3E-E81492C5F1DE}" sourceName="Region">
  <pivotTables>
    <pivotTable tabId="2" name="PivotTable6"/>
  </pivotTables>
  <data>
    <tabular pivotCacheId="158198098">
      <items count="4">
        <i x="1"/>
        <i x="3"/>
        <i x="0" s="1"/>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834F572-1719-4EF0-8A2C-3A76229F35DB}" sourceName="Category">
  <pivotTables>
    <pivotTable tabId="2" name="PivotTable6"/>
  </pivotTables>
  <data>
    <tabular pivotCacheId="158198098">
      <items count="3">
        <i x="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5063990-DED5-498A-8825-F8173D89354A}" cache="Slicer_Region" caption="Region" rowHeight="234950"/>
  <slicer name="Category" xr10:uid="{16FF2BC6-44BD-42F1-B810-3675DC885CBE}"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27A6C-7081-4388-A957-BD3897D38585}">
  <sheetPr codeName="Sheet2">
    <tabColor rgb="FFFF99CC"/>
  </sheetPr>
  <dimension ref="A1:O101"/>
  <sheetViews>
    <sheetView workbookViewId="0">
      <selection sqref="A1:M1"/>
    </sheetView>
  </sheetViews>
  <sheetFormatPr defaultRowHeight="14.4" x14ac:dyDescent="0.3"/>
  <cols>
    <col min="1" max="1" width="9.33203125" bestFit="1" customWidth="1"/>
    <col min="2" max="2" width="10.33203125" bestFit="1" customWidth="1"/>
    <col min="3" max="3" width="14.6640625" bestFit="1" customWidth="1"/>
    <col min="4" max="4" width="6.77734375" bestFit="1" customWidth="1"/>
    <col min="5" max="5" width="13.109375" bestFit="1" customWidth="1"/>
    <col min="6" max="6" width="12.44140625" bestFit="1" customWidth="1"/>
    <col min="7" max="7" width="8.33203125" bestFit="1" customWidth="1"/>
    <col min="8" max="8" width="9.109375" bestFit="1" customWidth="1"/>
    <col min="9" max="9" width="8.33203125" bestFit="1" customWidth="1"/>
    <col min="10" max="10" width="9.88671875" bestFit="1" customWidth="1"/>
    <col min="11" max="11" width="8" bestFit="1" customWidth="1"/>
    <col min="12" max="12" width="14.109375" bestFit="1" customWidth="1"/>
  </cols>
  <sheetData>
    <row r="1" spans="1:15" x14ac:dyDescent="0.3">
      <c r="A1" s="9" t="s">
        <v>0</v>
      </c>
      <c r="B1" s="9" t="s">
        <v>1</v>
      </c>
      <c r="C1" s="9" t="s">
        <v>2</v>
      </c>
      <c r="D1" s="9" t="s">
        <v>3</v>
      </c>
      <c r="E1" s="9" t="s">
        <v>4</v>
      </c>
      <c r="F1" s="9" t="s">
        <v>5</v>
      </c>
      <c r="G1" s="9" t="s">
        <v>6</v>
      </c>
      <c r="H1" s="9" t="s">
        <v>7</v>
      </c>
      <c r="I1" s="9" t="s">
        <v>8</v>
      </c>
      <c r="J1" s="9" t="s">
        <v>9</v>
      </c>
      <c r="K1" s="9" t="s">
        <v>10</v>
      </c>
      <c r="L1" s="9" t="s">
        <v>11</v>
      </c>
      <c r="M1" s="10" t="s">
        <v>160</v>
      </c>
    </row>
    <row r="2" spans="1:15" x14ac:dyDescent="0.3">
      <c r="A2" s="1" t="s">
        <v>12</v>
      </c>
      <c r="B2" s="2">
        <v>45029</v>
      </c>
      <c r="C2" s="1" t="s">
        <v>13</v>
      </c>
      <c r="D2" s="1" t="s">
        <v>14</v>
      </c>
      <c r="E2" s="1" t="s">
        <v>15</v>
      </c>
      <c r="F2" s="1" t="s">
        <v>16</v>
      </c>
      <c r="G2" s="1">
        <v>3</v>
      </c>
      <c r="H2" s="1">
        <v>1443.03</v>
      </c>
      <c r="I2" s="1">
        <v>0.1</v>
      </c>
      <c r="J2" s="1">
        <v>3896.18</v>
      </c>
      <c r="K2" s="1">
        <v>964.48</v>
      </c>
      <c r="L2" s="1" t="s">
        <v>17</v>
      </c>
      <c r="M2">
        <v>2529</v>
      </c>
    </row>
    <row r="3" spans="1:15" x14ac:dyDescent="0.3">
      <c r="A3" s="1" t="s">
        <v>18</v>
      </c>
      <c r="B3" s="2">
        <v>45275</v>
      </c>
      <c r="C3" s="1" t="s">
        <v>19</v>
      </c>
      <c r="D3" s="1" t="s">
        <v>20</v>
      </c>
      <c r="E3" s="1" t="s">
        <v>21</v>
      </c>
      <c r="F3" s="1" t="s">
        <v>22</v>
      </c>
      <c r="G3" s="1">
        <v>7</v>
      </c>
      <c r="H3" s="1">
        <v>1715.07</v>
      </c>
      <c r="I3" s="1">
        <v>0.15</v>
      </c>
      <c r="J3" s="1">
        <v>10204.69</v>
      </c>
      <c r="K3" s="1">
        <v>1354.41</v>
      </c>
      <c r="L3" s="1" t="s">
        <v>23</v>
      </c>
      <c r="M3">
        <v>3268</v>
      </c>
    </row>
    <row r="4" spans="1:15" x14ac:dyDescent="0.3">
      <c r="A4" s="1" t="s">
        <v>24</v>
      </c>
      <c r="B4" s="2">
        <v>45197</v>
      </c>
      <c r="C4" s="1" t="s">
        <v>13</v>
      </c>
      <c r="D4" s="1" t="s">
        <v>20</v>
      </c>
      <c r="E4" s="1" t="s">
        <v>25</v>
      </c>
      <c r="F4" s="1" t="s">
        <v>26</v>
      </c>
      <c r="G4" s="1">
        <v>8</v>
      </c>
      <c r="H4" s="1">
        <v>621.97</v>
      </c>
      <c r="I4" s="1">
        <v>0.1</v>
      </c>
      <c r="J4" s="1">
        <v>4478.1899999999996</v>
      </c>
      <c r="K4" s="1">
        <v>752.58</v>
      </c>
      <c r="L4" s="1" t="s">
        <v>23</v>
      </c>
      <c r="M4">
        <v>2447</v>
      </c>
    </row>
    <row r="5" spans="1:15" x14ac:dyDescent="0.3">
      <c r="A5" s="1" t="s">
        <v>27</v>
      </c>
      <c r="B5" s="2">
        <v>45033</v>
      </c>
      <c r="C5" s="1" t="s">
        <v>28</v>
      </c>
      <c r="D5" s="1" t="s">
        <v>14</v>
      </c>
      <c r="E5" s="1" t="s">
        <v>15</v>
      </c>
      <c r="F5" s="1" t="s">
        <v>29</v>
      </c>
      <c r="G5" s="1">
        <v>5</v>
      </c>
      <c r="H5" s="1">
        <v>1166.43</v>
      </c>
      <c r="I5" s="1">
        <v>0.1</v>
      </c>
      <c r="J5" s="1">
        <v>5248.92</v>
      </c>
      <c r="K5" s="1">
        <v>948.39</v>
      </c>
      <c r="L5" s="1" t="s">
        <v>30</v>
      </c>
      <c r="M5">
        <v>1276</v>
      </c>
    </row>
    <row r="6" spans="1:15" x14ac:dyDescent="0.3">
      <c r="A6" s="1" t="s">
        <v>31</v>
      </c>
      <c r="B6" s="2">
        <v>44998</v>
      </c>
      <c r="C6" s="1" t="s">
        <v>13</v>
      </c>
      <c r="D6" s="1" t="s">
        <v>20</v>
      </c>
      <c r="E6" s="1" t="s">
        <v>25</v>
      </c>
      <c r="F6" s="1" t="s">
        <v>26</v>
      </c>
      <c r="G6" s="1">
        <v>7</v>
      </c>
      <c r="H6" s="1">
        <v>1003.2</v>
      </c>
      <c r="I6" s="1">
        <v>0.2</v>
      </c>
      <c r="J6" s="1">
        <v>5617.94</v>
      </c>
      <c r="K6" s="1">
        <v>995.18</v>
      </c>
      <c r="L6" s="1" t="s">
        <v>17</v>
      </c>
      <c r="M6">
        <v>4755</v>
      </c>
    </row>
    <row r="7" spans="1:15" x14ac:dyDescent="0.3">
      <c r="A7" s="1" t="s">
        <v>32</v>
      </c>
      <c r="B7" s="2">
        <v>45115</v>
      </c>
      <c r="C7" s="1" t="s">
        <v>33</v>
      </c>
      <c r="D7" s="1" t="s">
        <v>14</v>
      </c>
      <c r="E7" s="1" t="s">
        <v>25</v>
      </c>
      <c r="F7" s="1" t="s">
        <v>26</v>
      </c>
      <c r="G7" s="1">
        <v>4</v>
      </c>
      <c r="H7" s="1">
        <v>1891.42</v>
      </c>
      <c r="I7" s="1">
        <v>0.1</v>
      </c>
      <c r="J7" s="1">
        <v>6809.12</v>
      </c>
      <c r="K7" s="1">
        <v>1523.17</v>
      </c>
      <c r="L7" s="1" t="s">
        <v>34</v>
      </c>
      <c r="M7">
        <v>4660</v>
      </c>
    </row>
    <row r="8" spans="1:15" x14ac:dyDescent="0.3">
      <c r="A8" s="1" t="s">
        <v>35</v>
      </c>
      <c r="B8" s="2">
        <v>44947</v>
      </c>
      <c r="C8" s="1" t="s">
        <v>36</v>
      </c>
      <c r="D8" s="1" t="s">
        <v>14</v>
      </c>
      <c r="E8" s="1" t="s">
        <v>21</v>
      </c>
      <c r="F8" s="1" t="s">
        <v>22</v>
      </c>
      <c r="G8" s="1">
        <v>5</v>
      </c>
      <c r="H8" s="1">
        <v>1755.78</v>
      </c>
      <c r="I8" s="1">
        <v>0.15</v>
      </c>
      <c r="J8" s="1">
        <v>7462.04</v>
      </c>
      <c r="K8" s="1">
        <v>780.61</v>
      </c>
      <c r="L8" s="1" t="s">
        <v>23</v>
      </c>
      <c r="M8">
        <v>2981</v>
      </c>
    </row>
    <row r="9" spans="1:15" x14ac:dyDescent="0.3">
      <c r="A9" s="1" t="s">
        <v>37</v>
      </c>
      <c r="B9" s="2">
        <v>45029</v>
      </c>
      <c r="C9" s="1" t="s">
        <v>38</v>
      </c>
      <c r="D9" s="1" t="s">
        <v>39</v>
      </c>
      <c r="E9" s="1" t="s">
        <v>15</v>
      </c>
      <c r="F9" s="1" t="s">
        <v>40</v>
      </c>
      <c r="G9" s="1">
        <v>7</v>
      </c>
      <c r="H9" s="1">
        <v>1802.57</v>
      </c>
      <c r="I9" s="1">
        <v>0</v>
      </c>
      <c r="J9" s="1">
        <v>12618.01</v>
      </c>
      <c r="K9" s="1">
        <v>1489.34</v>
      </c>
      <c r="L9" s="1" t="s">
        <v>34</v>
      </c>
      <c r="M9">
        <v>3647</v>
      </c>
    </row>
    <row r="10" spans="1:15" x14ac:dyDescent="0.3">
      <c r="A10" s="1" t="s">
        <v>41</v>
      </c>
      <c r="B10" s="2">
        <v>45048</v>
      </c>
      <c r="C10" s="1" t="s">
        <v>13</v>
      </c>
      <c r="D10" s="1" t="s">
        <v>42</v>
      </c>
      <c r="E10" s="1" t="s">
        <v>25</v>
      </c>
      <c r="F10" s="1" t="s">
        <v>26</v>
      </c>
      <c r="G10" s="1">
        <v>7</v>
      </c>
      <c r="H10" s="1">
        <v>412.85</v>
      </c>
      <c r="I10" s="1">
        <v>0.1</v>
      </c>
      <c r="J10" s="1">
        <v>2600.9299999999998</v>
      </c>
      <c r="K10" s="1">
        <v>401.46</v>
      </c>
      <c r="L10" s="1" t="s">
        <v>17</v>
      </c>
      <c r="M10">
        <v>2165</v>
      </c>
    </row>
    <row r="11" spans="1:15" x14ac:dyDescent="0.3">
      <c r="A11" s="1" t="s">
        <v>43</v>
      </c>
      <c r="B11" s="2">
        <v>45141</v>
      </c>
      <c r="C11" s="1" t="s">
        <v>44</v>
      </c>
      <c r="D11" s="1" t="s">
        <v>14</v>
      </c>
      <c r="E11" s="1" t="s">
        <v>21</v>
      </c>
      <c r="F11" s="1" t="s">
        <v>45</v>
      </c>
      <c r="G11" s="1">
        <v>6</v>
      </c>
      <c r="H11" s="1">
        <v>515.65</v>
      </c>
      <c r="I11" s="1">
        <v>0</v>
      </c>
      <c r="J11" s="1">
        <v>3093.91</v>
      </c>
      <c r="K11" s="1">
        <v>467.05</v>
      </c>
      <c r="L11" s="1" t="s">
        <v>30</v>
      </c>
      <c r="M11">
        <v>2604</v>
      </c>
    </row>
    <row r="12" spans="1:15" x14ac:dyDescent="0.3">
      <c r="A12" s="1" t="s">
        <v>46</v>
      </c>
      <c r="B12" s="2">
        <v>45257</v>
      </c>
      <c r="C12" s="1" t="s">
        <v>44</v>
      </c>
      <c r="D12" s="1" t="s">
        <v>20</v>
      </c>
      <c r="E12" s="1" t="s">
        <v>21</v>
      </c>
      <c r="F12" s="1" t="s">
        <v>45</v>
      </c>
      <c r="G12" s="1">
        <v>2</v>
      </c>
      <c r="H12" s="1">
        <v>1453.31</v>
      </c>
      <c r="I12" s="1">
        <v>0.2</v>
      </c>
      <c r="J12" s="1">
        <v>2325.3000000000002</v>
      </c>
      <c r="K12" s="1">
        <v>281.85000000000002</v>
      </c>
      <c r="L12" s="1" t="s">
        <v>34</v>
      </c>
      <c r="M12">
        <v>3657</v>
      </c>
    </row>
    <row r="13" spans="1:15" x14ac:dyDescent="0.3">
      <c r="A13" s="1" t="s">
        <v>47</v>
      </c>
      <c r="B13" s="2">
        <v>45014</v>
      </c>
      <c r="C13" s="1" t="s">
        <v>33</v>
      </c>
      <c r="D13" s="1" t="s">
        <v>42</v>
      </c>
      <c r="E13" s="1" t="s">
        <v>21</v>
      </c>
      <c r="F13" s="1" t="s">
        <v>48</v>
      </c>
      <c r="G13" s="1">
        <v>6</v>
      </c>
      <c r="H13" s="1">
        <v>162.80000000000001</v>
      </c>
      <c r="I13" s="1">
        <v>0</v>
      </c>
      <c r="J13" s="1">
        <v>976.78</v>
      </c>
      <c r="K13" s="1">
        <v>203.74</v>
      </c>
      <c r="L13" s="1" t="s">
        <v>30</v>
      </c>
      <c r="M13">
        <v>4447</v>
      </c>
    </row>
    <row r="14" spans="1:15" x14ac:dyDescent="0.3">
      <c r="A14" s="1" t="s">
        <v>49</v>
      </c>
      <c r="B14" s="2">
        <v>45026</v>
      </c>
      <c r="C14" s="1" t="s">
        <v>44</v>
      </c>
      <c r="D14" s="1" t="s">
        <v>20</v>
      </c>
      <c r="E14" s="1" t="s">
        <v>21</v>
      </c>
      <c r="F14" s="1" t="s">
        <v>48</v>
      </c>
      <c r="G14" s="1">
        <v>7</v>
      </c>
      <c r="H14" s="1">
        <v>1377.06</v>
      </c>
      <c r="I14" s="1">
        <v>0.1</v>
      </c>
      <c r="J14" s="1">
        <v>8675.4599999999991</v>
      </c>
      <c r="K14" s="1">
        <v>1235.5</v>
      </c>
      <c r="L14" s="1" t="s">
        <v>23</v>
      </c>
      <c r="M14">
        <v>4689</v>
      </c>
    </row>
    <row r="15" spans="1:15" x14ac:dyDescent="0.3">
      <c r="A15" s="1" t="s">
        <v>50</v>
      </c>
      <c r="B15" s="2">
        <v>45286</v>
      </c>
      <c r="C15" s="1" t="s">
        <v>51</v>
      </c>
      <c r="D15" s="1" t="s">
        <v>39</v>
      </c>
      <c r="E15" s="1" t="s">
        <v>25</v>
      </c>
      <c r="F15" s="1" t="s">
        <v>52</v>
      </c>
      <c r="G15" s="1">
        <v>6</v>
      </c>
      <c r="H15" s="1">
        <v>857.77</v>
      </c>
      <c r="I15" s="1">
        <v>0</v>
      </c>
      <c r="J15" s="1">
        <v>5146.6000000000004</v>
      </c>
      <c r="K15" s="1">
        <v>451.25</v>
      </c>
      <c r="L15" s="1" t="s">
        <v>34</v>
      </c>
      <c r="M15">
        <v>4787</v>
      </c>
    </row>
    <row r="16" spans="1:15" x14ac:dyDescent="0.3">
      <c r="A16" s="1" t="s">
        <v>53</v>
      </c>
      <c r="B16" s="2">
        <v>45078</v>
      </c>
      <c r="C16" s="1" t="s">
        <v>36</v>
      </c>
      <c r="D16" s="1" t="s">
        <v>39</v>
      </c>
      <c r="E16" s="1" t="s">
        <v>15</v>
      </c>
      <c r="F16" s="1" t="s">
        <v>16</v>
      </c>
      <c r="G16" s="1">
        <v>4</v>
      </c>
      <c r="H16" s="1">
        <v>131.52000000000001</v>
      </c>
      <c r="I16" s="1">
        <v>0.1</v>
      </c>
      <c r="J16" s="1">
        <v>473.46</v>
      </c>
      <c r="K16" s="1">
        <v>119.49</v>
      </c>
      <c r="L16" s="1" t="s">
        <v>17</v>
      </c>
      <c r="M16">
        <v>4960</v>
      </c>
      <c r="O16" s="8"/>
    </row>
    <row r="17" spans="1:14" x14ac:dyDescent="0.3">
      <c r="A17" s="1" t="s">
        <v>54</v>
      </c>
      <c r="B17" s="2">
        <v>45057</v>
      </c>
      <c r="C17" s="1" t="s">
        <v>38</v>
      </c>
      <c r="D17" s="1" t="s">
        <v>42</v>
      </c>
      <c r="E17" s="1" t="s">
        <v>25</v>
      </c>
      <c r="F17" s="1" t="s">
        <v>55</v>
      </c>
      <c r="G17" s="1">
        <v>8</v>
      </c>
      <c r="H17" s="1">
        <v>834.8</v>
      </c>
      <c r="I17" s="1">
        <v>0.05</v>
      </c>
      <c r="J17" s="1">
        <v>6344.46</v>
      </c>
      <c r="K17" s="1">
        <v>1645.93</v>
      </c>
      <c r="L17" s="1" t="s">
        <v>23</v>
      </c>
      <c r="M17">
        <v>2405</v>
      </c>
      <c r="N17" s="7"/>
    </row>
    <row r="18" spans="1:14" x14ac:dyDescent="0.3">
      <c r="A18" s="1" t="s">
        <v>56</v>
      </c>
      <c r="B18" s="2">
        <v>45076</v>
      </c>
      <c r="C18" s="1" t="s">
        <v>36</v>
      </c>
      <c r="D18" s="1" t="s">
        <v>39</v>
      </c>
      <c r="E18" s="1" t="s">
        <v>15</v>
      </c>
      <c r="F18" s="1" t="s">
        <v>16</v>
      </c>
      <c r="G18" s="1">
        <v>3</v>
      </c>
      <c r="H18" s="1">
        <v>534.25</v>
      </c>
      <c r="I18" s="1">
        <v>0.05</v>
      </c>
      <c r="J18" s="1">
        <v>1522.6</v>
      </c>
      <c r="K18" s="1">
        <v>449.99</v>
      </c>
      <c r="L18" s="1" t="s">
        <v>34</v>
      </c>
      <c r="M18">
        <v>2205</v>
      </c>
    </row>
    <row r="19" spans="1:14" x14ac:dyDescent="0.3">
      <c r="A19" s="1" t="s">
        <v>57</v>
      </c>
      <c r="B19" s="2">
        <v>45235</v>
      </c>
      <c r="C19" s="1" t="s">
        <v>38</v>
      </c>
      <c r="D19" s="1" t="s">
        <v>20</v>
      </c>
      <c r="E19" s="1" t="s">
        <v>21</v>
      </c>
      <c r="F19" s="1" t="s">
        <v>22</v>
      </c>
      <c r="G19" s="1">
        <v>5</v>
      </c>
      <c r="H19" s="1">
        <v>1810.79</v>
      </c>
      <c r="I19" s="1">
        <v>0.1</v>
      </c>
      <c r="J19" s="1">
        <v>8148.57</v>
      </c>
      <c r="K19" s="1">
        <v>791.85</v>
      </c>
      <c r="L19" s="1" t="s">
        <v>17</v>
      </c>
      <c r="M19">
        <v>2419</v>
      </c>
    </row>
    <row r="20" spans="1:14" x14ac:dyDescent="0.3">
      <c r="A20" s="1" t="s">
        <v>58</v>
      </c>
      <c r="B20" s="2">
        <v>45184</v>
      </c>
      <c r="C20" s="1" t="s">
        <v>59</v>
      </c>
      <c r="D20" s="1" t="s">
        <v>39</v>
      </c>
      <c r="E20" s="1" t="s">
        <v>15</v>
      </c>
      <c r="F20" s="1" t="s">
        <v>40</v>
      </c>
      <c r="G20" s="1">
        <v>8</v>
      </c>
      <c r="H20" s="1">
        <v>1786.76</v>
      </c>
      <c r="I20" s="1">
        <v>0.15</v>
      </c>
      <c r="J20" s="1">
        <v>12149.99</v>
      </c>
      <c r="K20" s="1">
        <v>863.07</v>
      </c>
      <c r="L20" s="1" t="s">
        <v>23</v>
      </c>
      <c r="M20">
        <v>4998</v>
      </c>
    </row>
    <row r="21" spans="1:14" x14ac:dyDescent="0.3">
      <c r="A21" s="1" t="s">
        <v>60</v>
      </c>
      <c r="B21" s="2">
        <v>45270</v>
      </c>
      <c r="C21" s="1" t="s">
        <v>33</v>
      </c>
      <c r="D21" s="1" t="s">
        <v>14</v>
      </c>
      <c r="E21" s="1" t="s">
        <v>21</v>
      </c>
      <c r="F21" s="1" t="s">
        <v>45</v>
      </c>
      <c r="G21" s="1">
        <v>9</v>
      </c>
      <c r="H21" s="1">
        <v>1360.65</v>
      </c>
      <c r="I21" s="1">
        <v>0.2</v>
      </c>
      <c r="J21" s="1">
        <v>9796.7000000000007</v>
      </c>
      <c r="K21" s="1">
        <v>1185.21</v>
      </c>
      <c r="L21" s="1" t="s">
        <v>23</v>
      </c>
      <c r="M21">
        <v>3322</v>
      </c>
    </row>
    <row r="22" spans="1:14" x14ac:dyDescent="0.3">
      <c r="A22" s="1" t="s">
        <v>61</v>
      </c>
      <c r="B22" s="2">
        <v>45220</v>
      </c>
      <c r="C22" s="1" t="s">
        <v>13</v>
      </c>
      <c r="D22" s="1" t="s">
        <v>39</v>
      </c>
      <c r="E22" s="1" t="s">
        <v>15</v>
      </c>
      <c r="F22" s="1" t="s">
        <v>29</v>
      </c>
      <c r="G22" s="1">
        <v>9</v>
      </c>
      <c r="H22" s="1">
        <v>434.26</v>
      </c>
      <c r="I22" s="1">
        <v>0.15</v>
      </c>
      <c r="J22" s="1">
        <v>3322.07</v>
      </c>
      <c r="K22" s="1">
        <v>363.14</v>
      </c>
      <c r="L22" s="1" t="s">
        <v>30</v>
      </c>
      <c r="M22">
        <v>2394</v>
      </c>
    </row>
    <row r="23" spans="1:14" x14ac:dyDescent="0.3">
      <c r="A23" s="1" t="s">
        <v>62</v>
      </c>
      <c r="B23" s="2">
        <v>45118</v>
      </c>
      <c r="C23" s="1" t="s">
        <v>51</v>
      </c>
      <c r="D23" s="1" t="s">
        <v>20</v>
      </c>
      <c r="E23" s="1" t="s">
        <v>15</v>
      </c>
      <c r="F23" s="1" t="s">
        <v>16</v>
      </c>
      <c r="G23" s="1">
        <v>1</v>
      </c>
      <c r="H23" s="1">
        <v>685.32</v>
      </c>
      <c r="I23" s="1">
        <v>0.15</v>
      </c>
      <c r="J23" s="1">
        <v>582.52</v>
      </c>
      <c r="K23" s="1">
        <v>103.22</v>
      </c>
      <c r="L23" s="1" t="s">
        <v>23</v>
      </c>
      <c r="M23">
        <v>1344</v>
      </c>
    </row>
    <row r="24" spans="1:14" x14ac:dyDescent="0.3">
      <c r="A24" s="1" t="s">
        <v>63</v>
      </c>
      <c r="B24" s="2">
        <v>45203</v>
      </c>
      <c r="C24" s="1" t="s">
        <v>33</v>
      </c>
      <c r="D24" s="1" t="s">
        <v>42</v>
      </c>
      <c r="E24" s="1" t="s">
        <v>21</v>
      </c>
      <c r="F24" s="1" t="s">
        <v>48</v>
      </c>
      <c r="G24" s="1">
        <v>6</v>
      </c>
      <c r="H24" s="1">
        <v>1959.9</v>
      </c>
      <c r="I24" s="1">
        <v>0.1</v>
      </c>
      <c r="J24" s="1">
        <v>10583.44</v>
      </c>
      <c r="K24" s="1">
        <v>2889.4</v>
      </c>
      <c r="L24" s="1" t="s">
        <v>23</v>
      </c>
      <c r="M24">
        <v>2080</v>
      </c>
    </row>
    <row r="25" spans="1:14" x14ac:dyDescent="0.3">
      <c r="A25" s="1" t="s">
        <v>64</v>
      </c>
      <c r="B25" s="2">
        <v>45087</v>
      </c>
      <c r="C25" s="1" t="s">
        <v>36</v>
      </c>
      <c r="D25" s="1" t="s">
        <v>20</v>
      </c>
      <c r="E25" s="1" t="s">
        <v>25</v>
      </c>
      <c r="F25" s="1" t="s">
        <v>26</v>
      </c>
      <c r="G25" s="1">
        <v>1</v>
      </c>
      <c r="H25" s="1">
        <v>470.96</v>
      </c>
      <c r="I25" s="1">
        <v>0.2</v>
      </c>
      <c r="J25" s="1">
        <v>376.77</v>
      </c>
      <c r="K25" s="1">
        <v>65.86</v>
      </c>
      <c r="L25" s="1" t="s">
        <v>30</v>
      </c>
      <c r="M25">
        <v>1257</v>
      </c>
    </row>
    <row r="26" spans="1:14" x14ac:dyDescent="0.3">
      <c r="A26" s="1" t="s">
        <v>65</v>
      </c>
      <c r="B26" s="2">
        <v>45240</v>
      </c>
      <c r="C26" s="1" t="s">
        <v>59</v>
      </c>
      <c r="D26" s="1" t="s">
        <v>42</v>
      </c>
      <c r="E26" s="1" t="s">
        <v>25</v>
      </c>
      <c r="F26" s="1" t="s">
        <v>55</v>
      </c>
      <c r="G26" s="1">
        <v>5</v>
      </c>
      <c r="H26" s="1">
        <v>1778.64</v>
      </c>
      <c r="I26" s="1">
        <v>0.15</v>
      </c>
      <c r="J26" s="1">
        <v>7559.21</v>
      </c>
      <c r="K26" s="1">
        <v>407.17</v>
      </c>
      <c r="L26" s="1" t="s">
        <v>34</v>
      </c>
      <c r="M26">
        <v>3901</v>
      </c>
    </row>
    <row r="27" spans="1:14" x14ac:dyDescent="0.3">
      <c r="A27" s="1" t="s">
        <v>66</v>
      </c>
      <c r="B27" s="2">
        <v>44948</v>
      </c>
      <c r="C27" s="1" t="s">
        <v>13</v>
      </c>
      <c r="D27" s="1" t="s">
        <v>39</v>
      </c>
      <c r="E27" s="1" t="s">
        <v>21</v>
      </c>
      <c r="F27" s="1" t="s">
        <v>22</v>
      </c>
      <c r="G27" s="1">
        <v>3</v>
      </c>
      <c r="H27" s="1">
        <v>1962.63</v>
      </c>
      <c r="I27" s="1">
        <v>0.15</v>
      </c>
      <c r="J27" s="1">
        <v>5004.71</v>
      </c>
      <c r="K27" s="1">
        <v>618.64</v>
      </c>
      <c r="L27" s="1" t="s">
        <v>17</v>
      </c>
      <c r="M27">
        <v>5891</v>
      </c>
    </row>
    <row r="28" spans="1:14" x14ac:dyDescent="0.3">
      <c r="A28" s="1" t="s">
        <v>67</v>
      </c>
      <c r="B28" s="2">
        <v>45179</v>
      </c>
      <c r="C28" s="1" t="s">
        <v>59</v>
      </c>
      <c r="D28" s="1" t="s">
        <v>14</v>
      </c>
      <c r="E28" s="1" t="s">
        <v>25</v>
      </c>
      <c r="F28" s="1" t="s">
        <v>26</v>
      </c>
      <c r="G28" s="1">
        <v>2</v>
      </c>
      <c r="H28" s="1">
        <v>1157.92</v>
      </c>
      <c r="I28" s="1">
        <v>0.05</v>
      </c>
      <c r="J28" s="1">
        <v>2200.0500000000002</v>
      </c>
      <c r="K28" s="1">
        <v>621.52</v>
      </c>
      <c r="L28" s="1" t="s">
        <v>30</v>
      </c>
      <c r="M28">
        <v>3258</v>
      </c>
    </row>
    <row r="29" spans="1:14" x14ac:dyDescent="0.3">
      <c r="A29" s="1" t="s">
        <v>68</v>
      </c>
      <c r="B29" s="2">
        <v>45162</v>
      </c>
      <c r="C29" s="1" t="s">
        <v>28</v>
      </c>
      <c r="D29" s="1" t="s">
        <v>42</v>
      </c>
      <c r="E29" s="1" t="s">
        <v>15</v>
      </c>
      <c r="F29" s="1" t="s">
        <v>40</v>
      </c>
      <c r="G29" s="1">
        <v>7</v>
      </c>
      <c r="H29" s="1">
        <v>366.16</v>
      </c>
      <c r="I29" s="1">
        <v>0.1</v>
      </c>
      <c r="J29" s="1">
        <v>2306.81</v>
      </c>
      <c r="K29" s="1">
        <v>285.63</v>
      </c>
      <c r="L29" s="1" t="s">
        <v>30</v>
      </c>
      <c r="M29">
        <v>5258</v>
      </c>
    </row>
    <row r="30" spans="1:14" x14ac:dyDescent="0.3">
      <c r="A30" s="1" t="s">
        <v>69</v>
      </c>
      <c r="B30" s="2">
        <v>45271</v>
      </c>
      <c r="C30" s="1" t="s">
        <v>28</v>
      </c>
      <c r="D30" s="1" t="s">
        <v>20</v>
      </c>
      <c r="E30" s="1" t="s">
        <v>25</v>
      </c>
      <c r="F30" s="1" t="s">
        <v>55</v>
      </c>
      <c r="G30" s="1">
        <v>6</v>
      </c>
      <c r="H30" s="1">
        <v>783.03</v>
      </c>
      <c r="I30" s="1">
        <v>0.2</v>
      </c>
      <c r="J30" s="1">
        <v>3758.56</v>
      </c>
      <c r="K30" s="1">
        <v>466.54</v>
      </c>
      <c r="L30" s="1" t="s">
        <v>23</v>
      </c>
      <c r="M30">
        <v>5599</v>
      </c>
    </row>
    <row r="31" spans="1:14" x14ac:dyDescent="0.3">
      <c r="A31" s="1" t="s">
        <v>70</v>
      </c>
      <c r="B31" s="2">
        <v>44975</v>
      </c>
      <c r="C31" s="1" t="s">
        <v>59</v>
      </c>
      <c r="D31" s="1" t="s">
        <v>39</v>
      </c>
      <c r="E31" s="1" t="s">
        <v>25</v>
      </c>
      <c r="F31" s="1" t="s">
        <v>55</v>
      </c>
      <c r="G31" s="1">
        <v>7</v>
      </c>
      <c r="H31" s="1">
        <v>1052.8800000000001</v>
      </c>
      <c r="I31" s="1">
        <v>0.2</v>
      </c>
      <c r="J31" s="1">
        <v>5896.13</v>
      </c>
      <c r="K31" s="1">
        <v>581.16999999999996</v>
      </c>
      <c r="L31" s="1" t="s">
        <v>23</v>
      </c>
      <c r="M31">
        <v>4577</v>
      </c>
    </row>
    <row r="32" spans="1:14" x14ac:dyDescent="0.3">
      <c r="A32" s="1" t="s">
        <v>71</v>
      </c>
      <c r="B32" s="2">
        <v>44985</v>
      </c>
      <c r="C32" s="1" t="s">
        <v>19</v>
      </c>
      <c r="D32" s="1" t="s">
        <v>20</v>
      </c>
      <c r="E32" s="1" t="s">
        <v>21</v>
      </c>
      <c r="F32" s="1" t="s">
        <v>45</v>
      </c>
      <c r="G32" s="1">
        <v>7</v>
      </c>
      <c r="H32" s="1">
        <v>152.47</v>
      </c>
      <c r="I32" s="1">
        <v>0.05</v>
      </c>
      <c r="J32" s="1">
        <v>1013.94</v>
      </c>
      <c r="K32" s="1">
        <v>74.52</v>
      </c>
      <c r="L32" s="1" t="s">
        <v>23</v>
      </c>
      <c r="M32">
        <v>2640</v>
      </c>
    </row>
    <row r="33" spans="1:13" x14ac:dyDescent="0.3">
      <c r="A33" s="1" t="s">
        <v>72</v>
      </c>
      <c r="B33" s="2">
        <v>45096</v>
      </c>
      <c r="C33" s="1" t="s">
        <v>51</v>
      </c>
      <c r="D33" s="1" t="s">
        <v>20</v>
      </c>
      <c r="E33" s="1" t="s">
        <v>15</v>
      </c>
      <c r="F33" s="1" t="s">
        <v>29</v>
      </c>
      <c r="G33" s="1">
        <v>6</v>
      </c>
      <c r="H33" s="1">
        <v>1222.58</v>
      </c>
      <c r="I33" s="1">
        <v>0</v>
      </c>
      <c r="J33" s="1">
        <v>7335.5</v>
      </c>
      <c r="K33" s="1">
        <v>435.27</v>
      </c>
      <c r="L33" s="1" t="s">
        <v>23</v>
      </c>
      <c r="M33">
        <v>5086</v>
      </c>
    </row>
    <row r="34" spans="1:13" x14ac:dyDescent="0.3">
      <c r="A34" s="1" t="s">
        <v>73</v>
      </c>
      <c r="B34" s="2">
        <v>45114</v>
      </c>
      <c r="C34" s="1" t="s">
        <v>13</v>
      </c>
      <c r="D34" s="1" t="s">
        <v>20</v>
      </c>
      <c r="E34" s="1" t="s">
        <v>15</v>
      </c>
      <c r="F34" s="1" t="s">
        <v>29</v>
      </c>
      <c r="G34" s="1">
        <v>1</v>
      </c>
      <c r="H34" s="1">
        <v>1672.95</v>
      </c>
      <c r="I34" s="1">
        <v>0.15</v>
      </c>
      <c r="J34" s="1">
        <v>1422.01</v>
      </c>
      <c r="K34" s="1">
        <v>147.83000000000001</v>
      </c>
      <c r="L34" s="1" t="s">
        <v>30</v>
      </c>
      <c r="M34">
        <v>2961</v>
      </c>
    </row>
    <row r="35" spans="1:13" x14ac:dyDescent="0.3">
      <c r="A35" s="1" t="s">
        <v>74</v>
      </c>
      <c r="B35" s="2">
        <v>45197</v>
      </c>
      <c r="C35" s="1" t="s">
        <v>36</v>
      </c>
      <c r="D35" s="1" t="s">
        <v>39</v>
      </c>
      <c r="E35" s="1" t="s">
        <v>21</v>
      </c>
      <c r="F35" s="1" t="s">
        <v>22</v>
      </c>
      <c r="G35" s="1">
        <v>4</v>
      </c>
      <c r="H35" s="1">
        <v>881.57</v>
      </c>
      <c r="I35" s="1">
        <v>0.1</v>
      </c>
      <c r="J35" s="1">
        <v>3173.66</v>
      </c>
      <c r="K35" s="1">
        <v>664.43</v>
      </c>
      <c r="L35" s="1" t="s">
        <v>34</v>
      </c>
      <c r="M35">
        <v>5009</v>
      </c>
    </row>
    <row r="36" spans="1:13" x14ac:dyDescent="0.3">
      <c r="A36" s="1" t="s">
        <v>75</v>
      </c>
      <c r="B36" s="2">
        <v>45116</v>
      </c>
      <c r="C36" s="1" t="s">
        <v>19</v>
      </c>
      <c r="D36" s="1" t="s">
        <v>14</v>
      </c>
      <c r="E36" s="1" t="s">
        <v>21</v>
      </c>
      <c r="F36" s="1" t="s">
        <v>48</v>
      </c>
      <c r="G36" s="1">
        <v>3</v>
      </c>
      <c r="H36" s="1">
        <v>1610.85</v>
      </c>
      <c r="I36" s="1">
        <v>0.1</v>
      </c>
      <c r="J36" s="1">
        <v>4349.3100000000004</v>
      </c>
      <c r="K36" s="1">
        <v>694.77</v>
      </c>
      <c r="L36" s="1" t="s">
        <v>34</v>
      </c>
      <c r="M36">
        <v>5636</v>
      </c>
    </row>
    <row r="37" spans="1:13" x14ac:dyDescent="0.3">
      <c r="A37" s="1" t="s">
        <v>76</v>
      </c>
      <c r="B37" s="2">
        <v>45101</v>
      </c>
      <c r="C37" s="1" t="s">
        <v>28</v>
      </c>
      <c r="D37" s="1" t="s">
        <v>14</v>
      </c>
      <c r="E37" s="1" t="s">
        <v>21</v>
      </c>
      <c r="F37" s="1" t="s">
        <v>22</v>
      </c>
      <c r="G37" s="1">
        <v>7</v>
      </c>
      <c r="H37" s="1">
        <v>913.8</v>
      </c>
      <c r="I37" s="1">
        <v>0.15</v>
      </c>
      <c r="J37" s="1">
        <v>5437.1</v>
      </c>
      <c r="K37" s="1">
        <v>827.73</v>
      </c>
      <c r="L37" s="1" t="s">
        <v>34</v>
      </c>
      <c r="M37">
        <v>3225</v>
      </c>
    </row>
    <row r="38" spans="1:13" x14ac:dyDescent="0.3">
      <c r="A38" s="1" t="s">
        <v>77</v>
      </c>
      <c r="B38" s="2">
        <v>44977</v>
      </c>
      <c r="C38" s="1" t="s">
        <v>19</v>
      </c>
      <c r="D38" s="1" t="s">
        <v>39</v>
      </c>
      <c r="E38" s="1" t="s">
        <v>15</v>
      </c>
      <c r="F38" s="1" t="s">
        <v>40</v>
      </c>
      <c r="G38" s="1">
        <v>6</v>
      </c>
      <c r="H38" s="1">
        <v>1457.73</v>
      </c>
      <c r="I38" s="1">
        <v>0.2</v>
      </c>
      <c r="J38" s="1">
        <v>6997.11</v>
      </c>
      <c r="K38" s="1">
        <v>839.54</v>
      </c>
      <c r="L38" s="1" t="s">
        <v>17</v>
      </c>
      <c r="M38">
        <v>4306</v>
      </c>
    </row>
    <row r="39" spans="1:13" x14ac:dyDescent="0.3">
      <c r="A39" s="1" t="s">
        <v>78</v>
      </c>
      <c r="B39" s="2">
        <v>45290</v>
      </c>
      <c r="C39" s="1" t="s">
        <v>13</v>
      </c>
      <c r="D39" s="1" t="s">
        <v>14</v>
      </c>
      <c r="E39" s="1" t="s">
        <v>25</v>
      </c>
      <c r="F39" s="1" t="s">
        <v>52</v>
      </c>
      <c r="G39" s="1">
        <v>7</v>
      </c>
      <c r="H39" s="1">
        <v>190.66</v>
      </c>
      <c r="I39" s="1">
        <v>0.05</v>
      </c>
      <c r="J39" s="1">
        <v>1267.8900000000001</v>
      </c>
      <c r="K39" s="1">
        <v>176.23</v>
      </c>
      <c r="L39" s="1" t="s">
        <v>34</v>
      </c>
      <c r="M39">
        <v>5466</v>
      </c>
    </row>
    <row r="40" spans="1:13" x14ac:dyDescent="0.3">
      <c r="A40" s="1" t="s">
        <v>79</v>
      </c>
      <c r="B40" s="2">
        <v>44981</v>
      </c>
      <c r="C40" s="1" t="s">
        <v>28</v>
      </c>
      <c r="D40" s="1" t="s">
        <v>14</v>
      </c>
      <c r="E40" s="1" t="s">
        <v>25</v>
      </c>
      <c r="F40" s="1" t="s">
        <v>52</v>
      </c>
      <c r="G40" s="1">
        <v>5</v>
      </c>
      <c r="H40" s="1">
        <v>278.89999999999998</v>
      </c>
      <c r="I40" s="1">
        <v>0.15</v>
      </c>
      <c r="J40" s="1">
        <v>1185.32</v>
      </c>
      <c r="K40" s="1">
        <v>111.22</v>
      </c>
      <c r="L40" s="1" t="s">
        <v>30</v>
      </c>
      <c r="M40">
        <v>2522</v>
      </c>
    </row>
    <row r="41" spans="1:13" x14ac:dyDescent="0.3">
      <c r="A41" s="1" t="s">
        <v>80</v>
      </c>
      <c r="B41" s="2">
        <v>45170</v>
      </c>
      <c r="C41" s="1" t="s">
        <v>28</v>
      </c>
      <c r="D41" s="1" t="s">
        <v>14</v>
      </c>
      <c r="E41" s="1" t="s">
        <v>25</v>
      </c>
      <c r="F41" s="1" t="s">
        <v>26</v>
      </c>
      <c r="G41" s="1">
        <v>4</v>
      </c>
      <c r="H41" s="1">
        <v>429.08</v>
      </c>
      <c r="I41" s="1">
        <v>0.2</v>
      </c>
      <c r="J41" s="1">
        <v>1373.07</v>
      </c>
      <c r="K41" s="1">
        <v>205.45</v>
      </c>
      <c r="L41" s="1" t="s">
        <v>34</v>
      </c>
      <c r="M41">
        <v>4190</v>
      </c>
    </row>
    <row r="42" spans="1:13" x14ac:dyDescent="0.3">
      <c r="A42" s="1" t="s">
        <v>81</v>
      </c>
      <c r="B42" s="2">
        <v>45246</v>
      </c>
      <c r="C42" s="1" t="s">
        <v>36</v>
      </c>
      <c r="D42" s="1" t="s">
        <v>39</v>
      </c>
      <c r="E42" s="1" t="s">
        <v>21</v>
      </c>
      <c r="F42" s="1" t="s">
        <v>45</v>
      </c>
      <c r="G42" s="1">
        <v>3</v>
      </c>
      <c r="H42" s="1">
        <v>1055.96</v>
      </c>
      <c r="I42" s="1">
        <v>0</v>
      </c>
      <c r="J42" s="1">
        <v>3167.88</v>
      </c>
      <c r="K42" s="1">
        <v>585.55999999999995</v>
      </c>
      <c r="L42" s="1" t="s">
        <v>30</v>
      </c>
      <c r="M42">
        <v>5917</v>
      </c>
    </row>
    <row r="43" spans="1:13" x14ac:dyDescent="0.3">
      <c r="A43" s="1" t="s">
        <v>82</v>
      </c>
      <c r="B43" s="2">
        <v>45057</v>
      </c>
      <c r="C43" s="1" t="s">
        <v>33</v>
      </c>
      <c r="D43" s="1" t="s">
        <v>20</v>
      </c>
      <c r="E43" s="1" t="s">
        <v>15</v>
      </c>
      <c r="F43" s="1" t="s">
        <v>40</v>
      </c>
      <c r="G43" s="1">
        <v>1</v>
      </c>
      <c r="H43" s="1">
        <v>1747.68</v>
      </c>
      <c r="I43" s="1">
        <v>0.1</v>
      </c>
      <c r="J43" s="1">
        <v>1572.91</v>
      </c>
      <c r="K43" s="1">
        <v>393.6</v>
      </c>
      <c r="L43" s="1" t="s">
        <v>30</v>
      </c>
      <c r="M43">
        <v>3010</v>
      </c>
    </row>
    <row r="44" spans="1:13" x14ac:dyDescent="0.3">
      <c r="A44" s="1" t="s">
        <v>83</v>
      </c>
      <c r="B44" s="2">
        <v>45233</v>
      </c>
      <c r="C44" s="1" t="s">
        <v>44</v>
      </c>
      <c r="D44" s="1" t="s">
        <v>39</v>
      </c>
      <c r="E44" s="1" t="s">
        <v>25</v>
      </c>
      <c r="F44" s="1" t="s">
        <v>55</v>
      </c>
      <c r="G44" s="1">
        <v>3</v>
      </c>
      <c r="H44" s="1">
        <v>1659.22</v>
      </c>
      <c r="I44" s="1">
        <v>0.15</v>
      </c>
      <c r="J44" s="1">
        <v>4231</v>
      </c>
      <c r="K44" s="1">
        <v>619.95000000000005</v>
      </c>
      <c r="L44" s="1" t="s">
        <v>23</v>
      </c>
      <c r="M44">
        <v>4524</v>
      </c>
    </row>
    <row r="45" spans="1:13" x14ac:dyDescent="0.3">
      <c r="A45" s="1" t="s">
        <v>84</v>
      </c>
      <c r="B45" s="2">
        <v>45061</v>
      </c>
      <c r="C45" s="1" t="s">
        <v>44</v>
      </c>
      <c r="D45" s="1" t="s">
        <v>14</v>
      </c>
      <c r="E45" s="1" t="s">
        <v>15</v>
      </c>
      <c r="F45" s="1" t="s">
        <v>29</v>
      </c>
      <c r="G45" s="1">
        <v>2</v>
      </c>
      <c r="H45" s="1">
        <v>174.03</v>
      </c>
      <c r="I45" s="1">
        <v>0.05</v>
      </c>
      <c r="J45" s="1">
        <v>330.66</v>
      </c>
      <c r="K45" s="1">
        <v>72.989999999999995</v>
      </c>
      <c r="L45" s="1" t="s">
        <v>30</v>
      </c>
      <c r="M45">
        <v>3047</v>
      </c>
    </row>
    <row r="46" spans="1:13" x14ac:dyDescent="0.3">
      <c r="A46" s="1" t="s">
        <v>85</v>
      </c>
      <c r="B46" s="2">
        <v>44947</v>
      </c>
      <c r="C46" s="1" t="s">
        <v>33</v>
      </c>
      <c r="D46" s="1" t="s">
        <v>42</v>
      </c>
      <c r="E46" s="1" t="s">
        <v>25</v>
      </c>
      <c r="F46" s="1" t="s">
        <v>52</v>
      </c>
      <c r="G46" s="1">
        <v>2</v>
      </c>
      <c r="H46" s="1">
        <v>595.32000000000005</v>
      </c>
      <c r="I46" s="1">
        <v>0.15</v>
      </c>
      <c r="J46" s="1">
        <v>1012.04</v>
      </c>
      <c r="K46" s="1">
        <v>225.91</v>
      </c>
      <c r="L46" s="1" t="s">
        <v>17</v>
      </c>
      <c r="M46">
        <v>1711</v>
      </c>
    </row>
    <row r="47" spans="1:13" x14ac:dyDescent="0.3">
      <c r="A47" s="1" t="s">
        <v>86</v>
      </c>
      <c r="B47" s="2">
        <v>45255</v>
      </c>
      <c r="C47" s="1" t="s">
        <v>38</v>
      </c>
      <c r="D47" s="1" t="s">
        <v>39</v>
      </c>
      <c r="E47" s="1" t="s">
        <v>25</v>
      </c>
      <c r="F47" s="1" t="s">
        <v>55</v>
      </c>
      <c r="G47" s="1">
        <v>5</v>
      </c>
      <c r="H47" s="1">
        <v>1938.4</v>
      </c>
      <c r="I47" s="1">
        <v>0.15</v>
      </c>
      <c r="J47" s="1">
        <v>8238.2099999999991</v>
      </c>
      <c r="K47" s="1">
        <v>777.36</v>
      </c>
      <c r="L47" s="1" t="s">
        <v>30</v>
      </c>
      <c r="M47">
        <v>1371</v>
      </c>
    </row>
    <row r="48" spans="1:13" x14ac:dyDescent="0.3">
      <c r="A48" s="1" t="s">
        <v>87</v>
      </c>
      <c r="B48" s="2">
        <v>45093</v>
      </c>
      <c r="C48" s="1" t="s">
        <v>59</v>
      </c>
      <c r="D48" s="1" t="s">
        <v>20</v>
      </c>
      <c r="E48" s="1" t="s">
        <v>15</v>
      </c>
      <c r="F48" s="1" t="s">
        <v>29</v>
      </c>
      <c r="G48" s="1">
        <v>3</v>
      </c>
      <c r="H48" s="1">
        <v>883.97</v>
      </c>
      <c r="I48" s="1">
        <v>0.05</v>
      </c>
      <c r="J48" s="1">
        <v>2519.3200000000002</v>
      </c>
      <c r="K48" s="1">
        <v>283.43</v>
      </c>
      <c r="L48" s="1" t="s">
        <v>23</v>
      </c>
      <c r="M48">
        <v>3518</v>
      </c>
    </row>
    <row r="49" spans="1:13" x14ac:dyDescent="0.3">
      <c r="A49" s="1" t="s">
        <v>88</v>
      </c>
      <c r="B49" s="2">
        <v>45200</v>
      </c>
      <c r="C49" s="1" t="s">
        <v>44</v>
      </c>
      <c r="D49" s="1" t="s">
        <v>42</v>
      </c>
      <c r="E49" s="1" t="s">
        <v>25</v>
      </c>
      <c r="F49" s="1" t="s">
        <v>55</v>
      </c>
      <c r="G49" s="1">
        <v>7</v>
      </c>
      <c r="H49" s="1">
        <v>1526.66</v>
      </c>
      <c r="I49" s="1">
        <v>0</v>
      </c>
      <c r="J49" s="1">
        <v>10686.59</v>
      </c>
      <c r="K49" s="1">
        <v>1170.81</v>
      </c>
      <c r="L49" s="1" t="s">
        <v>23</v>
      </c>
      <c r="M49">
        <v>3150</v>
      </c>
    </row>
    <row r="50" spans="1:13" x14ac:dyDescent="0.3">
      <c r="A50" s="1" t="s">
        <v>89</v>
      </c>
      <c r="B50" s="2">
        <v>45015</v>
      </c>
      <c r="C50" s="1" t="s">
        <v>90</v>
      </c>
      <c r="D50" s="1" t="s">
        <v>39</v>
      </c>
      <c r="E50" s="1" t="s">
        <v>25</v>
      </c>
      <c r="F50" s="1" t="s">
        <v>52</v>
      </c>
      <c r="G50" s="1">
        <v>3</v>
      </c>
      <c r="H50" s="1">
        <v>839.48</v>
      </c>
      <c r="I50" s="1">
        <v>0.15</v>
      </c>
      <c r="J50" s="1">
        <v>2140.6799999999998</v>
      </c>
      <c r="K50" s="1">
        <v>620.02</v>
      </c>
      <c r="L50" s="1" t="s">
        <v>34</v>
      </c>
      <c r="M50">
        <v>2362</v>
      </c>
    </row>
    <row r="51" spans="1:13" x14ac:dyDescent="0.3">
      <c r="A51" s="1" t="s">
        <v>91</v>
      </c>
      <c r="B51" s="2">
        <v>45242</v>
      </c>
      <c r="C51" s="1" t="s">
        <v>38</v>
      </c>
      <c r="D51" s="1" t="s">
        <v>39</v>
      </c>
      <c r="E51" s="1" t="s">
        <v>15</v>
      </c>
      <c r="F51" s="1" t="s">
        <v>40</v>
      </c>
      <c r="G51" s="1">
        <v>4</v>
      </c>
      <c r="H51" s="1">
        <v>1189.53</v>
      </c>
      <c r="I51" s="1">
        <v>0.2</v>
      </c>
      <c r="J51" s="1">
        <v>3806.5</v>
      </c>
      <c r="K51" s="1">
        <v>277.58999999999997</v>
      </c>
      <c r="L51" s="1" t="s">
        <v>17</v>
      </c>
      <c r="M51">
        <v>3574</v>
      </c>
    </row>
    <row r="52" spans="1:13" x14ac:dyDescent="0.3">
      <c r="A52" s="1" t="s">
        <v>92</v>
      </c>
      <c r="B52" s="2">
        <v>44940</v>
      </c>
      <c r="C52" s="1" t="s">
        <v>28</v>
      </c>
      <c r="D52" s="1" t="s">
        <v>20</v>
      </c>
      <c r="E52" s="1" t="s">
        <v>25</v>
      </c>
      <c r="F52" s="1" t="s">
        <v>55</v>
      </c>
      <c r="G52" s="1">
        <v>7</v>
      </c>
      <c r="H52" s="1">
        <v>1584.46</v>
      </c>
      <c r="I52" s="1">
        <v>0.2</v>
      </c>
      <c r="J52" s="1">
        <v>8872.99</v>
      </c>
      <c r="K52" s="1">
        <v>2508.6799999999998</v>
      </c>
      <c r="L52" s="1" t="s">
        <v>23</v>
      </c>
      <c r="M52">
        <v>4771</v>
      </c>
    </row>
    <row r="53" spans="1:13" x14ac:dyDescent="0.3">
      <c r="A53" s="1" t="s">
        <v>93</v>
      </c>
      <c r="B53" s="2">
        <v>45168</v>
      </c>
      <c r="C53" s="1" t="s">
        <v>33</v>
      </c>
      <c r="D53" s="1" t="s">
        <v>20</v>
      </c>
      <c r="E53" s="1" t="s">
        <v>15</v>
      </c>
      <c r="F53" s="1" t="s">
        <v>40</v>
      </c>
      <c r="G53" s="1">
        <v>5</v>
      </c>
      <c r="H53" s="1">
        <v>1500.37</v>
      </c>
      <c r="I53" s="1">
        <v>0.2</v>
      </c>
      <c r="J53" s="1">
        <v>6001.47</v>
      </c>
      <c r="K53" s="1">
        <v>826.58</v>
      </c>
      <c r="L53" s="1" t="s">
        <v>30</v>
      </c>
      <c r="M53">
        <v>4441</v>
      </c>
    </row>
    <row r="54" spans="1:13" x14ac:dyDescent="0.3">
      <c r="A54" s="1" t="s">
        <v>94</v>
      </c>
      <c r="B54" s="2">
        <v>45191</v>
      </c>
      <c r="C54" s="1" t="s">
        <v>38</v>
      </c>
      <c r="D54" s="1" t="s">
        <v>14</v>
      </c>
      <c r="E54" s="1" t="s">
        <v>25</v>
      </c>
      <c r="F54" s="1" t="s">
        <v>52</v>
      </c>
      <c r="G54" s="1">
        <v>1</v>
      </c>
      <c r="H54" s="1">
        <v>292.13</v>
      </c>
      <c r="I54" s="1">
        <v>0.2</v>
      </c>
      <c r="J54" s="1">
        <v>233.71</v>
      </c>
      <c r="K54" s="1">
        <v>24.69</v>
      </c>
      <c r="L54" s="1" t="s">
        <v>17</v>
      </c>
      <c r="M54">
        <v>1371</v>
      </c>
    </row>
    <row r="55" spans="1:13" x14ac:dyDescent="0.3">
      <c r="A55" s="1" t="s">
        <v>95</v>
      </c>
      <c r="B55" s="2">
        <v>45272</v>
      </c>
      <c r="C55" s="1" t="s">
        <v>44</v>
      </c>
      <c r="D55" s="1" t="s">
        <v>14</v>
      </c>
      <c r="E55" s="1" t="s">
        <v>21</v>
      </c>
      <c r="F55" s="1" t="s">
        <v>48</v>
      </c>
      <c r="G55" s="1">
        <v>5</v>
      </c>
      <c r="H55" s="1">
        <v>1075.32</v>
      </c>
      <c r="I55" s="1">
        <v>0.1</v>
      </c>
      <c r="J55" s="1">
        <v>4838.9399999999996</v>
      </c>
      <c r="K55" s="1">
        <v>945.17</v>
      </c>
      <c r="L55" s="1" t="s">
        <v>30</v>
      </c>
      <c r="M55">
        <v>5429</v>
      </c>
    </row>
    <row r="56" spans="1:13" x14ac:dyDescent="0.3">
      <c r="A56" s="1" t="s">
        <v>96</v>
      </c>
      <c r="B56" s="2">
        <v>44979</v>
      </c>
      <c r="C56" s="1" t="s">
        <v>90</v>
      </c>
      <c r="D56" s="1" t="s">
        <v>42</v>
      </c>
      <c r="E56" s="1" t="s">
        <v>25</v>
      </c>
      <c r="F56" s="1" t="s">
        <v>26</v>
      </c>
      <c r="G56" s="1">
        <v>7</v>
      </c>
      <c r="H56" s="1">
        <v>1973.4</v>
      </c>
      <c r="I56" s="1">
        <v>0.15</v>
      </c>
      <c r="J56" s="1">
        <v>11741.74</v>
      </c>
      <c r="K56" s="1">
        <v>1615.13</v>
      </c>
      <c r="L56" s="1" t="s">
        <v>30</v>
      </c>
      <c r="M56">
        <v>2426</v>
      </c>
    </row>
    <row r="57" spans="1:13" x14ac:dyDescent="0.3">
      <c r="A57" s="1" t="s">
        <v>97</v>
      </c>
      <c r="B57" s="2">
        <v>45266</v>
      </c>
      <c r="C57" s="1" t="s">
        <v>33</v>
      </c>
      <c r="D57" s="1" t="s">
        <v>39</v>
      </c>
      <c r="E57" s="1" t="s">
        <v>21</v>
      </c>
      <c r="F57" s="1" t="s">
        <v>45</v>
      </c>
      <c r="G57" s="1">
        <v>3</v>
      </c>
      <c r="H57" s="1">
        <v>311.27999999999997</v>
      </c>
      <c r="I57" s="1">
        <v>0.1</v>
      </c>
      <c r="J57" s="1">
        <v>840.44</v>
      </c>
      <c r="K57" s="1">
        <v>95.32</v>
      </c>
      <c r="L57" s="1" t="s">
        <v>23</v>
      </c>
      <c r="M57">
        <v>2609</v>
      </c>
    </row>
    <row r="58" spans="1:13" x14ac:dyDescent="0.3">
      <c r="A58" s="1" t="s">
        <v>98</v>
      </c>
      <c r="B58" s="2">
        <v>45018</v>
      </c>
      <c r="C58" s="1" t="s">
        <v>38</v>
      </c>
      <c r="D58" s="1" t="s">
        <v>20</v>
      </c>
      <c r="E58" s="1" t="s">
        <v>21</v>
      </c>
      <c r="F58" s="1" t="s">
        <v>22</v>
      </c>
      <c r="G58" s="1">
        <v>9</v>
      </c>
      <c r="H58" s="1">
        <v>1514</v>
      </c>
      <c r="I58" s="1">
        <v>0.1</v>
      </c>
      <c r="J58" s="1">
        <v>12263.42</v>
      </c>
      <c r="K58" s="1">
        <v>2401.69</v>
      </c>
      <c r="L58" s="1" t="s">
        <v>30</v>
      </c>
      <c r="M58">
        <v>1683</v>
      </c>
    </row>
    <row r="59" spans="1:13" x14ac:dyDescent="0.3">
      <c r="A59" s="1" t="s">
        <v>99</v>
      </c>
      <c r="B59" s="2">
        <v>45190</v>
      </c>
      <c r="C59" s="1" t="s">
        <v>13</v>
      </c>
      <c r="D59" s="1" t="s">
        <v>39</v>
      </c>
      <c r="E59" s="1" t="s">
        <v>25</v>
      </c>
      <c r="F59" s="1" t="s">
        <v>55</v>
      </c>
      <c r="G59" s="1">
        <v>8</v>
      </c>
      <c r="H59" s="1">
        <v>1103.9000000000001</v>
      </c>
      <c r="I59" s="1">
        <v>0.2</v>
      </c>
      <c r="J59" s="1">
        <v>7064.98</v>
      </c>
      <c r="K59" s="1">
        <v>2054.54</v>
      </c>
      <c r="L59" s="1" t="s">
        <v>23</v>
      </c>
      <c r="M59">
        <v>5270</v>
      </c>
    </row>
    <row r="60" spans="1:13" x14ac:dyDescent="0.3">
      <c r="A60" s="1" t="s">
        <v>100</v>
      </c>
      <c r="B60" s="2">
        <v>44961</v>
      </c>
      <c r="C60" s="1" t="s">
        <v>33</v>
      </c>
      <c r="D60" s="1" t="s">
        <v>20</v>
      </c>
      <c r="E60" s="1" t="s">
        <v>25</v>
      </c>
      <c r="F60" s="1" t="s">
        <v>26</v>
      </c>
      <c r="G60" s="1">
        <v>5</v>
      </c>
      <c r="H60" s="1">
        <v>580.67999999999995</v>
      </c>
      <c r="I60" s="1">
        <v>0.1</v>
      </c>
      <c r="J60" s="1">
        <v>2613.0700000000002</v>
      </c>
      <c r="K60" s="1">
        <v>763.87</v>
      </c>
      <c r="L60" s="1" t="s">
        <v>34</v>
      </c>
      <c r="M60">
        <v>5805</v>
      </c>
    </row>
    <row r="61" spans="1:13" x14ac:dyDescent="0.3">
      <c r="A61" s="1" t="s">
        <v>101</v>
      </c>
      <c r="B61" s="2">
        <v>45132</v>
      </c>
      <c r="C61" s="1" t="s">
        <v>38</v>
      </c>
      <c r="D61" s="1" t="s">
        <v>20</v>
      </c>
      <c r="E61" s="1" t="s">
        <v>25</v>
      </c>
      <c r="F61" s="1" t="s">
        <v>52</v>
      </c>
      <c r="G61" s="1">
        <v>1</v>
      </c>
      <c r="H61" s="1">
        <v>1292.3599999999999</v>
      </c>
      <c r="I61" s="1">
        <v>0.1</v>
      </c>
      <c r="J61" s="1">
        <v>1163.1199999999999</v>
      </c>
      <c r="K61" s="1">
        <v>320.2</v>
      </c>
      <c r="L61" s="1" t="s">
        <v>30</v>
      </c>
      <c r="M61">
        <v>2773</v>
      </c>
    </row>
    <row r="62" spans="1:13" x14ac:dyDescent="0.3">
      <c r="A62" s="1" t="s">
        <v>102</v>
      </c>
      <c r="B62" s="2">
        <v>45007</v>
      </c>
      <c r="C62" s="1" t="s">
        <v>28</v>
      </c>
      <c r="D62" s="1" t="s">
        <v>39</v>
      </c>
      <c r="E62" s="1" t="s">
        <v>21</v>
      </c>
      <c r="F62" s="1" t="s">
        <v>48</v>
      </c>
      <c r="G62" s="1">
        <v>8</v>
      </c>
      <c r="H62" s="1">
        <v>1278.25</v>
      </c>
      <c r="I62" s="1">
        <v>0.05</v>
      </c>
      <c r="J62" s="1">
        <v>9714.7099999999991</v>
      </c>
      <c r="K62" s="1">
        <v>942.62</v>
      </c>
      <c r="L62" s="1" t="s">
        <v>23</v>
      </c>
      <c r="M62">
        <v>5804</v>
      </c>
    </row>
    <row r="63" spans="1:13" x14ac:dyDescent="0.3">
      <c r="A63" s="1" t="s">
        <v>103</v>
      </c>
      <c r="B63" s="2">
        <v>44976</v>
      </c>
      <c r="C63" s="1" t="s">
        <v>44</v>
      </c>
      <c r="D63" s="1" t="s">
        <v>42</v>
      </c>
      <c r="E63" s="1" t="s">
        <v>21</v>
      </c>
      <c r="F63" s="1" t="s">
        <v>22</v>
      </c>
      <c r="G63" s="1">
        <v>9</v>
      </c>
      <c r="H63" s="1">
        <v>593.9</v>
      </c>
      <c r="I63" s="1">
        <v>0.1</v>
      </c>
      <c r="J63" s="1">
        <v>4810.63</v>
      </c>
      <c r="K63" s="1">
        <v>1080.18</v>
      </c>
      <c r="L63" s="1" t="s">
        <v>34</v>
      </c>
      <c r="M63">
        <v>1805</v>
      </c>
    </row>
    <row r="64" spans="1:13" x14ac:dyDescent="0.3">
      <c r="A64" s="1" t="s">
        <v>104</v>
      </c>
      <c r="B64" s="2">
        <v>45286</v>
      </c>
      <c r="C64" s="1" t="s">
        <v>13</v>
      </c>
      <c r="D64" s="1" t="s">
        <v>20</v>
      </c>
      <c r="E64" s="1" t="s">
        <v>25</v>
      </c>
      <c r="F64" s="1" t="s">
        <v>55</v>
      </c>
      <c r="G64" s="1">
        <v>3</v>
      </c>
      <c r="H64" s="1">
        <v>1662.82</v>
      </c>
      <c r="I64" s="1">
        <v>0.05</v>
      </c>
      <c r="J64" s="1">
        <v>4739.04</v>
      </c>
      <c r="K64" s="1">
        <v>730.57</v>
      </c>
      <c r="L64" s="1" t="s">
        <v>34</v>
      </c>
      <c r="M64">
        <v>2597</v>
      </c>
    </row>
    <row r="65" spans="1:13" x14ac:dyDescent="0.3">
      <c r="A65" s="1" t="s">
        <v>105</v>
      </c>
      <c r="B65" s="2">
        <v>44928</v>
      </c>
      <c r="C65" s="1" t="s">
        <v>19</v>
      </c>
      <c r="D65" s="1" t="s">
        <v>39</v>
      </c>
      <c r="E65" s="1" t="s">
        <v>21</v>
      </c>
      <c r="F65" s="1" t="s">
        <v>48</v>
      </c>
      <c r="G65" s="1">
        <v>8</v>
      </c>
      <c r="H65" s="1">
        <v>1765.66</v>
      </c>
      <c r="I65" s="1">
        <v>0.1</v>
      </c>
      <c r="J65" s="1">
        <v>12712.73</v>
      </c>
      <c r="K65" s="1">
        <v>779.35</v>
      </c>
      <c r="L65" s="1" t="s">
        <v>34</v>
      </c>
      <c r="M65">
        <v>3985</v>
      </c>
    </row>
    <row r="66" spans="1:13" x14ac:dyDescent="0.3">
      <c r="A66" s="1" t="s">
        <v>106</v>
      </c>
      <c r="B66" s="2">
        <v>44980</v>
      </c>
      <c r="C66" s="1" t="s">
        <v>28</v>
      </c>
      <c r="D66" s="1" t="s">
        <v>20</v>
      </c>
      <c r="E66" s="1" t="s">
        <v>21</v>
      </c>
      <c r="F66" s="1" t="s">
        <v>22</v>
      </c>
      <c r="G66" s="1">
        <v>2</v>
      </c>
      <c r="H66" s="1">
        <v>1975.82</v>
      </c>
      <c r="I66" s="1">
        <v>0</v>
      </c>
      <c r="J66" s="1">
        <v>3951.65</v>
      </c>
      <c r="K66" s="1">
        <v>569.77</v>
      </c>
      <c r="L66" s="1" t="s">
        <v>34</v>
      </c>
      <c r="M66">
        <v>1561</v>
      </c>
    </row>
    <row r="67" spans="1:13" x14ac:dyDescent="0.3">
      <c r="A67" s="1" t="s">
        <v>107</v>
      </c>
      <c r="B67" s="2">
        <v>45032</v>
      </c>
      <c r="C67" s="1" t="s">
        <v>44</v>
      </c>
      <c r="D67" s="1" t="s">
        <v>42</v>
      </c>
      <c r="E67" s="1" t="s">
        <v>21</v>
      </c>
      <c r="F67" s="1" t="s">
        <v>45</v>
      </c>
      <c r="G67" s="1">
        <v>1</v>
      </c>
      <c r="H67" s="1">
        <v>1692.82</v>
      </c>
      <c r="I67" s="1">
        <v>0.05</v>
      </c>
      <c r="J67" s="1">
        <v>1608.18</v>
      </c>
      <c r="K67" s="1">
        <v>95.21</v>
      </c>
      <c r="L67" s="1" t="s">
        <v>30</v>
      </c>
      <c r="M67">
        <v>4741</v>
      </c>
    </row>
    <row r="68" spans="1:13" x14ac:dyDescent="0.3">
      <c r="A68" s="1" t="s">
        <v>108</v>
      </c>
      <c r="B68" s="2">
        <v>45186</v>
      </c>
      <c r="C68" s="1" t="s">
        <v>13</v>
      </c>
      <c r="D68" s="1" t="s">
        <v>20</v>
      </c>
      <c r="E68" s="1" t="s">
        <v>15</v>
      </c>
      <c r="F68" s="1" t="s">
        <v>40</v>
      </c>
      <c r="G68" s="1">
        <v>1</v>
      </c>
      <c r="H68" s="1">
        <v>1115.26</v>
      </c>
      <c r="I68" s="1">
        <v>0.2</v>
      </c>
      <c r="J68" s="1">
        <v>892.21</v>
      </c>
      <c r="K68" s="1">
        <v>266.91000000000003</v>
      </c>
      <c r="L68" s="1" t="s">
        <v>34</v>
      </c>
      <c r="M68">
        <v>4171</v>
      </c>
    </row>
    <row r="69" spans="1:13" x14ac:dyDescent="0.3">
      <c r="A69" s="1" t="s">
        <v>109</v>
      </c>
      <c r="B69" s="2">
        <v>45236</v>
      </c>
      <c r="C69" s="1" t="s">
        <v>90</v>
      </c>
      <c r="D69" s="1" t="s">
        <v>42</v>
      </c>
      <c r="E69" s="1" t="s">
        <v>25</v>
      </c>
      <c r="F69" s="1" t="s">
        <v>55</v>
      </c>
      <c r="G69" s="1">
        <v>3</v>
      </c>
      <c r="H69" s="1">
        <v>569.96</v>
      </c>
      <c r="I69" s="1">
        <v>0</v>
      </c>
      <c r="J69" s="1">
        <v>1709.88</v>
      </c>
      <c r="K69" s="1">
        <v>140.71</v>
      </c>
      <c r="L69" s="1" t="s">
        <v>34</v>
      </c>
      <c r="M69">
        <v>4857</v>
      </c>
    </row>
    <row r="70" spans="1:13" x14ac:dyDescent="0.3">
      <c r="A70" s="1" t="s">
        <v>110</v>
      </c>
      <c r="B70" s="2">
        <v>45117</v>
      </c>
      <c r="C70" s="1" t="s">
        <v>59</v>
      </c>
      <c r="D70" s="1" t="s">
        <v>20</v>
      </c>
      <c r="E70" s="1" t="s">
        <v>21</v>
      </c>
      <c r="F70" s="1" t="s">
        <v>22</v>
      </c>
      <c r="G70" s="1">
        <v>1</v>
      </c>
      <c r="H70" s="1">
        <v>1538.3</v>
      </c>
      <c r="I70" s="1">
        <v>0.05</v>
      </c>
      <c r="J70" s="1">
        <v>1461.38</v>
      </c>
      <c r="K70" s="1">
        <v>203.92</v>
      </c>
      <c r="L70" s="1" t="s">
        <v>23</v>
      </c>
      <c r="M70">
        <v>3578</v>
      </c>
    </row>
    <row r="71" spans="1:13" x14ac:dyDescent="0.3">
      <c r="A71" s="1" t="s">
        <v>111</v>
      </c>
      <c r="B71" s="2">
        <v>45144</v>
      </c>
      <c r="C71" s="1" t="s">
        <v>44</v>
      </c>
      <c r="D71" s="1" t="s">
        <v>14</v>
      </c>
      <c r="E71" s="1" t="s">
        <v>21</v>
      </c>
      <c r="F71" s="1" t="s">
        <v>48</v>
      </c>
      <c r="G71" s="1">
        <v>6</v>
      </c>
      <c r="H71" s="1">
        <v>1567.4</v>
      </c>
      <c r="I71" s="1">
        <v>0.1</v>
      </c>
      <c r="J71" s="1">
        <v>8463.99</v>
      </c>
      <c r="K71" s="1">
        <v>1074.45</v>
      </c>
      <c r="L71" s="1" t="s">
        <v>30</v>
      </c>
      <c r="M71">
        <v>3356</v>
      </c>
    </row>
    <row r="72" spans="1:13" x14ac:dyDescent="0.3">
      <c r="A72" s="1" t="s">
        <v>112</v>
      </c>
      <c r="B72" s="2">
        <v>44970</v>
      </c>
      <c r="C72" s="1" t="s">
        <v>33</v>
      </c>
      <c r="D72" s="1" t="s">
        <v>20</v>
      </c>
      <c r="E72" s="1" t="s">
        <v>25</v>
      </c>
      <c r="F72" s="1" t="s">
        <v>52</v>
      </c>
      <c r="G72" s="1">
        <v>9</v>
      </c>
      <c r="H72" s="1">
        <v>1220.92</v>
      </c>
      <c r="I72" s="1">
        <v>0.2</v>
      </c>
      <c r="J72" s="1">
        <v>8790.6</v>
      </c>
      <c r="K72" s="1">
        <v>1802.75</v>
      </c>
      <c r="L72" s="1" t="s">
        <v>17</v>
      </c>
      <c r="M72">
        <v>1951</v>
      </c>
    </row>
    <row r="73" spans="1:13" x14ac:dyDescent="0.3">
      <c r="A73" s="1" t="s">
        <v>113</v>
      </c>
      <c r="B73" s="2">
        <v>45088</v>
      </c>
      <c r="C73" s="1" t="s">
        <v>90</v>
      </c>
      <c r="D73" s="1" t="s">
        <v>20</v>
      </c>
      <c r="E73" s="1" t="s">
        <v>15</v>
      </c>
      <c r="F73" s="1" t="s">
        <v>40</v>
      </c>
      <c r="G73" s="1">
        <v>2</v>
      </c>
      <c r="H73" s="1">
        <v>766.12</v>
      </c>
      <c r="I73" s="1">
        <v>0.05</v>
      </c>
      <c r="J73" s="1">
        <v>1455.62</v>
      </c>
      <c r="K73" s="1">
        <v>304.45999999999998</v>
      </c>
      <c r="L73" s="1" t="s">
        <v>23</v>
      </c>
      <c r="M73">
        <v>4589</v>
      </c>
    </row>
    <row r="74" spans="1:13" x14ac:dyDescent="0.3">
      <c r="A74" s="1" t="s">
        <v>114</v>
      </c>
      <c r="B74" s="2">
        <v>45128</v>
      </c>
      <c r="C74" s="1" t="s">
        <v>28</v>
      </c>
      <c r="D74" s="1" t="s">
        <v>20</v>
      </c>
      <c r="E74" s="1" t="s">
        <v>25</v>
      </c>
      <c r="F74" s="1" t="s">
        <v>52</v>
      </c>
      <c r="G74" s="1">
        <v>1</v>
      </c>
      <c r="H74" s="1">
        <v>1588.94</v>
      </c>
      <c r="I74" s="1">
        <v>0.15</v>
      </c>
      <c r="J74" s="1">
        <v>1350.6</v>
      </c>
      <c r="K74" s="1">
        <v>168.14</v>
      </c>
      <c r="L74" s="1" t="s">
        <v>34</v>
      </c>
      <c r="M74">
        <v>2084</v>
      </c>
    </row>
    <row r="75" spans="1:13" x14ac:dyDescent="0.3">
      <c r="A75" s="1" t="s">
        <v>115</v>
      </c>
      <c r="B75" s="2">
        <v>45196</v>
      </c>
      <c r="C75" s="1" t="s">
        <v>36</v>
      </c>
      <c r="D75" s="1" t="s">
        <v>39</v>
      </c>
      <c r="E75" s="1" t="s">
        <v>25</v>
      </c>
      <c r="F75" s="1" t="s">
        <v>55</v>
      </c>
      <c r="G75" s="1">
        <v>4</v>
      </c>
      <c r="H75" s="1">
        <v>972.76</v>
      </c>
      <c r="I75" s="1">
        <v>0</v>
      </c>
      <c r="J75" s="1">
        <v>3891.04</v>
      </c>
      <c r="K75" s="1">
        <v>673.26</v>
      </c>
      <c r="L75" s="1" t="s">
        <v>34</v>
      </c>
      <c r="M75">
        <v>5921</v>
      </c>
    </row>
    <row r="76" spans="1:13" x14ac:dyDescent="0.3">
      <c r="A76" s="1" t="s">
        <v>116</v>
      </c>
      <c r="B76" s="2">
        <v>45277</v>
      </c>
      <c r="C76" s="1" t="s">
        <v>90</v>
      </c>
      <c r="D76" s="1" t="s">
        <v>20</v>
      </c>
      <c r="E76" s="1" t="s">
        <v>21</v>
      </c>
      <c r="F76" s="1" t="s">
        <v>48</v>
      </c>
      <c r="G76" s="1">
        <v>5</v>
      </c>
      <c r="H76" s="1">
        <v>760.09</v>
      </c>
      <c r="I76" s="1">
        <v>0.1</v>
      </c>
      <c r="J76" s="1">
        <v>3420.38</v>
      </c>
      <c r="K76" s="1">
        <v>666.68</v>
      </c>
      <c r="L76" s="1" t="s">
        <v>34</v>
      </c>
      <c r="M76">
        <v>4727</v>
      </c>
    </row>
    <row r="77" spans="1:13" x14ac:dyDescent="0.3">
      <c r="A77" s="1" t="s">
        <v>117</v>
      </c>
      <c r="B77" s="2">
        <v>45230</v>
      </c>
      <c r="C77" s="1" t="s">
        <v>59</v>
      </c>
      <c r="D77" s="1" t="s">
        <v>42</v>
      </c>
      <c r="E77" s="1" t="s">
        <v>15</v>
      </c>
      <c r="F77" s="1" t="s">
        <v>16</v>
      </c>
      <c r="G77" s="1">
        <v>6</v>
      </c>
      <c r="H77" s="1">
        <v>1425.57</v>
      </c>
      <c r="I77" s="1">
        <v>0.15</v>
      </c>
      <c r="J77" s="1">
        <v>7270.4</v>
      </c>
      <c r="K77" s="1">
        <v>694.11</v>
      </c>
      <c r="L77" s="1" t="s">
        <v>17</v>
      </c>
      <c r="M77">
        <v>3150</v>
      </c>
    </row>
    <row r="78" spans="1:13" x14ac:dyDescent="0.3">
      <c r="A78" s="1" t="s">
        <v>118</v>
      </c>
      <c r="B78" s="2">
        <v>45197</v>
      </c>
      <c r="C78" s="1" t="s">
        <v>13</v>
      </c>
      <c r="D78" s="1" t="s">
        <v>14</v>
      </c>
      <c r="E78" s="1" t="s">
        <v>15</v>
      </c>
      <c r="F78" s="1" t="s">
        <v>16</v>
      </c>
      <c r="G78" s="1">
        <v>2</v>
      </c>
      <c r="H78" s="1">
        <v>1243.68</v>
      </c>
      <c r="I78" s="1">
        <v>0.1</v>
      </c>
      <c r="J78" s="1">
        <v>2238.62</v>
      </c>
      <c r="K78" s="1">
        <v>134.80000000000001</v>
      </c>
      <c r="L78" s="1" t="s">
        <v>30</v>
      </c>
      <c r="M78">
        <v>3651</v>
      </c>
    </row>
    <row r="79" spans="1:13" x14ac:dyDescent="0.3">
      <c r="A79" s="1" t="s">
        <v>119</v>
      </c>
      <c r="B79" s="2">
        <v>45141</v>
      </c>
      <c r="C79" s="1" t="s">
        <v>28</v>
      </c>
      <c r="D79" s="1" t="s">
        <v>14</v>
      </c>
      <c r="E79" s="1" t="s">
        <v>21</v>
      </c>
      <c r="F79" s="1" t="s">
        <v>22</v>
      </c>
      <c r="G79" s="1">
        <v>6</v>
      </c>
      <c r="H79" s="1">
        <v>268.52999999999997</v>
      </c>
      <c r="I79" s="1">
        <v>0</v>
      </c>
      <c r="J79" s="1">
        <v>1611.21</v>
      </c>
      <c r="K79" s="1">
        <v>295.83</v>
      </c>
      <c r="L79" s="1" t="s">
        <v>23</v>
      </c>
      <c r="M79">
        <v>4308</v>
      </c>
    </row>
    <row r="80" spans="1:13" x14ac:dyDescent="0.3">
      <c r="A80" s="1" t="s">
        <v>120</v>
      </c>
      <c r="B80" s="2">
        <v>45178</v>
      </c>
      <c r="C80" s="1" t="s">
        <v>59</v>
      </c>
      <c r="D80" s="1" t="s">
        <v>14</v>
      </c>
      <c r="E80" s="1" t="s">
        <v>25</v>
      </c>
      <c r="F80" s="1" t="s">
        <v>52</v>
      </c>
      <c r="G80" s="1">
        <v>9</v>
      </c>
      <c r="H80" s="1">
        <v>275.35000000000002</v>
      </c>
      <c r="I80" s="1">
        <v>0</v>
      </c>
      <c r="J80" s="1">
        <v>2478.17</v>
      </c>
      <c r="K80" s="1">
        <v>550.02</v>
      </c>
      <c r="L80" s="1" t="s">
        <v>17</v>
      </c>
      <c r="M80">
        <v>4057</v>
      </c>
    </row>
    <row r="81" spans="1:13" x14ac:dyDescent="0.3">
      <c r="A81" s="1" t="s">
        <v>121</v>
      </c>
      <c r="B81" s="2">
        <v>45116</v>
      </c>
      <c r="C81" s="1" t="s">
        <v>90</v>
      </c>
      <c r="D81" s="1" t="s">
        <v>42</v>
      </c>
      <c r="E81" s="1" t="s">
        <v>15</v>
      </c>
      <c r="F81" s="1" t="s">
        <v>29</v>
      </c>
      <c r="G81" s="1">
        <v>1</v>
      </c>
      <c r="H81" s="1">
        <v>626.07000000000005</v>
      </c>
      <c r="I81" s="1">
        <v>0</v>
      </c>
      <c r="J81" s="1">
        <v>626.07000000000005</v>
      </c>
      <c r="K81" s="1">
        <v>44.53</v>
      </c>
      <c r="L81" s="1" t="s">
        <v>30</v>
      </c>
      <c r="M81">
        <v>2792</v>
      </c>
    </row>
    <row r="82" spans="1:13" x14ac:dyDescent="0.3">
      <c r="A82" s="1" t="s">
        <v>122</v>
      </c>
      <c r="B82" s="2">
        <v>45222</v>
      </c>
      <c r="C82" s="1" t="s">
        <v>59</v>
      </c>
      <c r="D82" s="1" t="s">
        <v>14</v>
      </c>
      <c r="E82" s="1" t="s">
        <v>15</v>
      </c>
      <c r="F82" s="1" t="s">
        <v>16</v>
      </c>
      <c r="G82" s="1">
        <v>8</v>
      </c>
      <c r="H82" s="1">
        <v>1020.59</v>
      </c>
      <c r="I82" s="1">
        <v>0.05</v>
      </c>
      <c r="J82" s="1">
        <v>7756.51</v>
      </c>
      <c r="K82" s="1">
        <v>1861.48</v>
      </c>
      <c r="L82" s="1" t="s">
        <v>34</v>
      </c>
      <c r="M82">
        <v>4383</v>
      </c>
    </row>
    <row r="83" spans="1:13" x14ac:dyDescent="0.3">
      <c r="A83" s="1" t="s">
        <v>123</v>
      </c>
      <c r="B83" s="2">
        <v>45139</v>
      </c>
      <c r="C83" s="1" t="s">
        <v>33</v>
      </c>
      <c r="D83" s="1" t="s">
        <v>14</v>
      </c>
      <c r="E83" s="1" t="s">
        <v>21</v>
      </c>
      <c r="F83" s="1" t="s">
        <v>48</v>
      </c>
      <c r="G83" s="1">
        <v>8</v>
      </c>
      <c r="H83" s="1">
        <v>352.92</v>
      </c>
      <c r="I83" s="1">
        <v>0.1</v>
      </c>
      <c r="J83" s="1">
        <v>2541.04</v>
      </c>
      <c r="K83" s="1">
        <v>695.74</v>
      </c>
      <c r="L83" s="1" t="s">
        <v>23</v>
      </c>
      <c r="M83">
        <v>1254</v>
      </c>
    </row>
    <row r="84" spans="1:13" x14ac:dyDescent="0.3">
      <c r="A84" s="1" t="s">
        <v>124</v>
      </c>
      <c r="B84" s="2">
        <v>45134</v>
      </c>
      <c r="C84" s="1" t="s">
        <v>38</v>
      </c>
      <c r="D84" s="1" t="s">
        <v>42</v>
      </c>
      <c r="E84" s="1" t="s">
        <v>15</v>
      </c>
      <c r="F84" s="1" t="s">
        <v>16</v>
      </c>
      <c r="G84" s="1">
        <v>9</v>
      </c>
      <c r="H84" s="1">
        <v>1501.07</v>
      </c>
      <c r="I84" s="1">
        <v>0.15</v>
      </c>
      <c r="J84" s="1">
        <v>11483.18</v>
      </c>
      <c r="K84" s="1">
        <v>631.78</v>
      </c>
      <c r="L84" s="1" t="s">
        <v>17</v>
      </c>
      <c r="M84">
        <v>2046</v>
      </c>
    </row>
    <row r="85" spans="1:13" x14ac:dyDescent="0.3">
      <c r="A85" s="1" t="s">
        <v>125</v>
      </c>
      <c r="B85" s="2">
        <v>45163</v>
      </c>
      <c r="C85" s="1" t="s">
        <v>28</v>
      </c>
      <c r="D85" s="1" t="s">
        <v>20</v>
      </c>
      <c r="E85" s="1" t="s">
        <v>21</v>
      </c>
      <c r="F85" s="1" t="s">
        <v>48</v>
      </c>
      <c r="G85" s="1">
        <v>9</v>
      </c>
      <c r="H85" s="1">
        <v>1792</v>
      </c>
      <c r="I85" s="1">
        <v>0.15</v>
      </c>
      <c r="J85" s="1">
        <v>13708.81</v>
      </c>
      <c r="K85" s="1">
        <v>2309.83</v>
      </c>
      <c r="L85" s="1" t="s">
        <v>34</v>
      </c>
      <c r="M85">
        <v>1571</v>
      </c>
    </row>
    <row r="86" spans="1:13" x14ac:dyDescent="0.3">
      <c r="A86" s="1" t="s">
        <v>126</v>
      </c>
      <c r="B86" s="2">
        <v>45264</v>
      </c>
      <c r="C86" s="1" t="s">
        <v>59</v>
      </c>
      <c r="D86" s="1" t="s">
        <v>42</v>
      </c>
      <c r="E86" s="1" t="s">
        <v>25</v>
      </c>
      <c r="F86" s="1" t="s">
        <v>52</v>
      </c>
      <c r="G86" s="1">
        <v>4</v>
      </c>
      <c r="H86" s="1">
        <v>1120.5</v>
      </c>
      <c r="I86" s="1">
        <v>0.05</v>
      </c>
      <c r="J86" s="1">
        <v>4257.91</v>
      </c>
      <c r="K86" s="1">
        <v>806.6</v>
      </c>
      <c r="L86" s="1" t="s">
        <v>30</v>
      </c>
      <c r="M86">
        <v>5267</v>
      </c>
    </row>
    <row r="87" spans="1:13" x14ac:dyDescent="0.3">
      <c r="A87" s="1" t="s">
        <v>127</v>
      </c>
      <c r="B87" s="2">
        <v>44979</v>
      </c>
      <c r="C87" s="1" t="s">
        <v>33</v>
      </c>
      <c r="D87" s="1" t="s">
        <v>20</v>
      </c>
      <c r="E87" s="1" t="s">
        <v>15</v>
      </c>
      <c r="F87" s="1" t="s">
        <v>40</v>
      </c>
      <c r="G87" s="1">
        <v>9</v>
      </c>
      <c r="H87" s="1">
        <v>741.15</v>
      </c>
      <c r="I87" s="1">
        <v>0.15</v>
      </c>
      <c r="J87" s="1">
        <v>5669.79</v>
      </c>
      <c r="K87" s="1">
        <v>1199.04</v>
      </c>
      <c r="L87" s="1" t="s">
        <v>30</v>
      </c>
      <c r="M87">
        <v>5353</v>
      </c>
    </row>
    <row r="88" spans="1:13" x14ac:dyDescent="0.3">
      <c r="A88" s="1" t="s">
        <v>128</v>
      </c>
      <c r="B88" s="2">
        <v>45206</v>
      </c>
      <c r="C88" s="1" t="s">
        <v>13</v>
      </c>
      <c r="D88" s="1" t="s">
        <v>14</v>
      </c>
      <c r="E88" s="1" t="s">
        <v>15</v>
      </c>
      <c r="F88" s="1" t="s">
        <v>29</v>
      </c>
      <c r="G88" s="1">
        <v>6</v>
      </c>
      <c r="H88" s="1">
        <v>1250.97</v>
      </c>
      <c r="I88" s="1">
        <v>0</v>
      </c>
      <c r="J88" s="1">
        <v>7505.83</v>
      </c>
      <c r="K88" s="1">
        <v>389.43</v>
      </c>
      <c r="L88" s="1" t="s">
        <v>23</v>
      </c>
      <c r="M88">
        <v>1253</v>
      </c>
    </row>
    <row r="89" spans="1:13" x14ac:dyDescent="0.3">
      <c r="A89" s="1" t="s">
        <v>129</v>
      </c>
      <c r="B89" s="2">
        <v>45143</v>
      </c>
      <c r="C89" s="1" t="s">
        <v>59</v>
      </c>
      <c r="D89" s="1" t="s">
        <v>42</v>
      </c>
      <c r="E89" s="1" t="s">
        <v>15</v>
      </c>
      <c r="F89" s="1" t="s">
        <v>40</v>
      </c>
      <c r="G89" s="1">
        <v>8</v>
      </c>
      <c r="H89" s="1">
        <v>1803.85</v>
      </c>
      <c r="I89" s="1">
        <v>0.1</v>
      </c>
      <c r="J89" s="1">
        <v>12987.75</v>
      </c>
      <c r="K89" s="1">
        <v>2352.44</v>
      </c>
      <c r="L89" s="1" t="s">
        <v>30</v>
      </c>
      <c r="M89">
        <v>2316</v>
      </c>
    </row>
    <row r="90" spans="1:13" x14ac:dyDescent="0.3">
      <c r="A90" s="1" t="s">
        <v>130</v>
      </c>
      <c r="B90" s="2">
        <v>45178</v>
      </c>
      <c r="C90" s="1" t="s">
        <v>51</v>
      </c>
      <c r="D90" s="1" t="s">
        <v>14</v>
      </c>
      <c r="E90" s="1" t="s">
        <v>15</v>
      </c>
      <c r="F90" s="1" t="s">
        <v>40</v>
      </c>
      <c r="G90" s="1">
        <v>2</v>
      </c>
      <c r="H90" s="1">
        <v>1194.4000000000001</v>
      </c>
      <c r="I90" s="1">
        <v>0.1</v>
      </c>
      <c r="J90" s="1">
        <v>2149.91</v>
      </c>
      <c r="K90" s="1">
        <v>572.69000000000005</v>
      </c>
      <c r="L90" s="1" t="s">
        <v>34</v>
      </c>
      <c r="M90">
        <v>4233</v>
      </c>
    </row>
    <row r="91" spans="1:13" x14ac:dyDescent="0.3">
      <c r="A91" s="1" t="s">
        <v>131</v>
      </c>
      <c r="B91" s="2">
        <v>45114</v>
      </c>
      <c r="C91" s="1" t="s">
        <v>59</v>
      </c>
      <c r="D91" s="1" t="s">
        <v>14</v>
      </c>
      <c r="E91" s="1" t="s">
        <v>21</v>
      </c>
      <c r="F91" s="1" t="s">
        <v>48</v>
      </c>
      <c r="G91" s="1">
        <v>3</v>
      </c>
      <c r="H91" s="1">
        <v>1659.64</v>
      </c>
      <c r="I91" s="1">
        <v>0.05</v>
      </c>
      <c r="J91" s="1">
        <v>4729.96</v>
      </c>
      <c r="K91" s="1">
        <v>894.87</v>
      </c>
      <c r="L91" s="1" t="s">
        <v>17</v>
      </c>
      <c r="M91">
        <v>2938</v>
      </c>
    </row>
    <row r="92" spans="1:13" x14ac:dyDescent="0.3">
      <c r="A92" s="1" t="s">
        <v>132</v>
      </c>
      <c r="B92" s="2">
        <v>44967</v>
      </c>
      <c r="C92" s="1" t="s">
        <v>44</v>
      </c>
      <c r="D92" s="1" t="s">
        <v>39</v>
      </c>
      <c r="E92" s="1" t="s">
        <v>25</v>
      </c>
      <c r="F92" s="1" t="s">
        <v>55</v>
      </c>
      <c r="G92" s="1">
        <v>6</v>
      </c>
      <c r="H92" s="1">
        <v>1939.19</v>
      </c>
      <c r="I92" s="1">
        <v>0.15</v>
      </c>
      <c r="J92" s="1">
        <v>9889.86</v>
      </c>
      <c r="K92" s="1">
        <v>1546.37</v>
      </c>
      <c r="L92" s="1" t="s">
        <v>34</v>
      </c>
      <c r="M92">
        <v>4143</v>
      </c>
    </row>
    <row r="93" spans="1:13" x14ac:dyDescent="0.3">
      <c r="A93" s="1" t="s">
        <v>133</v>
      </c>
      <c r="B93" s="2">
        <v>45083</v>
      </c>
      <c r="C93" s="1" t="s">
        <v>90</v>
      </c>
      <c r="D93" s="1" t="s">
        <v>42</v>
      </c>
      <c r="E93" s="1" t="s">
        <v>15</v>
      </c>
      <c r="F93" s="1" t="s">
        <v>29</v>
      </c>
      <c r="G93" s="1">
        <v>6</v>
      </c>
      <c r="H93" s="1">
        <v>1204.3499999999999</v>
      </c>
      <c r="I93" s="1">
        <v>0.1</v>
      </c>
      <c r="J93" s="1">
        <v>6503.5</v>
      </c>
      <c r="K93" s="1">
        <v>1840.51</v>
      </c>
      <c r="L93" s="1" t="s">
        <v>23</v>
      </c>
      <c r="M93">
        <v>1091</v>
      </c>
    </row>
    <row r="94" spans="1:13" x14ac:dyDescent="0.3">
      <c r="A94" s="1" t="s">
        <v>134</v>
      </c>
      <c r="B94" s="2">
        <v>44941</v>
      </c>
      <c r="C94" s="1" t="s">
        <v>59</v>
      </c>
      <c r="D94" s="1" t="s">
        <v>14</v>
      </c>
      <c r="E94" s="1" t="s">
        <v>21</v>
      </c>
      <c r="F94" s="1" t="s">
        <v>48</v>
      </c>
      <c r="G94" s="1">
        <v>5</v>
      </c>
      <c r="H94" s="1">
        <v>220.41</v>
      </c>
      <c r="I94" s="1">
        <v>0.15</v>
      </c>
      <c r="J94" s="1">
        <v>936.75</v>
      </c>
      <c r="K94" s="1">
        <v>94.08</v>
      </c>
      <c r="L94" s="1" t="s">
        <v>30</v>
      </c>
      <c r="M94">
        <v>1375</v>
      </c>
    </row>
    <row r="95" spans="1:13" x14ac:dyDescent="0.3">
      <c r="A95" s="1" t="s">
        <v>135</v>
      </c>
      <c r="B95" s="2">
        <v>45227</v>
      </c>
      <c r="C95" s="1" t="s">
        <v>59</v>
      </c>
      <c r="D95" s="1" t="s">
        <v>14</v>
      </c>
      <c r="E95" s="1" t="s">
        <v>25</v>
      </c>
      <c r="F95" s="1" t="s">
        <v>26</v>
      </c>
      <c r="G95" s="1">
        <v>5</v>
      </c>
      <c r="H95" s="1">
        <v>105.15</v>
      </c>
      <c r="I95" s="1">
        <v>0</v>
      </c>
      <c r="J95" s="1">
        <v>525.75</v>
      </c>
      <c r="K95" s="1">
        <v>104.58</v>
      </c>
      <c r="L95" s="1" t="s">
        <v>17</v>
      </c>
      <c r="M95">
        <v>1032</v>
      </c>
    </row>
    <row r="96" spans="1:13" x14ac:dyDescent="0.3">
      <c r="A96" s="1" t="s">
        <v>136</v>
      </c>
      <c r="B96" s="2">
        <v>44991</v>
      </c>
      <c r="C96" s="1" t="s">
        <v>13</v>
      </c>
      <c r="D96" s="1" t="s">
        <v>39</v>
      </c>
      <c r="E96" s="1" t="s">
        <v>15</v>
      </c>
      <c r="F96" s="1" t="s">
        <v>40</v>
      </c>
      <c r="G96" s="1">
        <v>1</v>
      </c>
      <c r="H96" s="1">
        <v>1716.38</v>
      </c>
      <c r="I96" s="1">
        <v>0.15</v>
      </c>
      <c r="J96" s="1">
        <v>1458.92</v>
      </c>
      <c r="K96" s="1">
        <v>424.92</v>
      </c>
      <c r="L96" s="1" t="s">
        <v>17</v>
      </c>
      <c r="M96">
        <v>3550</v>
      </c>
    </row>
    <row r="97" spans="1:13" x14ac:dyDescent="0.3">
      <c r="A97" s="1" t="s">
        <v>137</v>
      </c>
      <c r="B97" s="2">
        <v>45271</v>
      </c>
      <c r="C97" s="1" t="s">
        <v>59</v>
      </c>
      <c r="D97" s="1" t="s">
        <v>20</v>
      </c>
      <c r="E97" s="1" t="s">
        <v>25</v>
      </c>
      <c r="F97" s="1" t="s">
        <v>52</v>
      </c>
      <c r="G97" s="1">
        <v>3</v>
      </c>
      <c r="H97" s="1">
        <v>226.34</v>
      </c>
      <c r="I97" s="1">
        <v>0.15</v>
      </c>
      <c r="J97" s="1">
        <v>577.16999999999996</v>
      </c>
      <c r="K97" s="1">
        <v>150.33000000000001</v>
      </c>
      <c r="L97" s="1" t="s">
        <v>34</v>
      </c>
      <c r="M97">
        <v>2202</v>
      </c>
    </row>
    <row r="98" spans="1:13" x14ac:dyDescent="0.3">
      <c r="A98" s="1" t="s">
        <v>138</v>
      </c>
      <c r="B98" s="2">
        <v>45253</v>
      </c>
      <c r="C98" s="1" t="s">
        <v>28</v>
      </c>
      <c r="D98" s="1" t="s">
        <v>14</v>
      </c>
      <c r="E98" s="1" t="s">
        <v>25</v>
      </c>
      <c r="F98" s="1" t="s">
        <v>52</v>
      </c>
      <c r="G98" s="1">
        <v>3</v>
      </c>
      <c r="H98" s="1">
        <v>412.11</v>
      </c>
      <c r="I98" s="1">
        <v>0.2</v>
      </c>
      <c r="J98" s="1">
        <v>989.05</v>
      </c>
      <c r="K98" s="1">
        <v>107.73</v>
      </c>
      <c r="L98" s="1" t="s">
        <v>30</v>
      </c>
      <c r="M98">
        <v>4643</v>
      </c>
    </row>
    <row r="99" spans="1:13" x14ac:dyDescent="0.3">
      <c r="A99" s="1" t="s">
        <v>139</v>
      </c>
      <c r="B99" s="2">
        <v>44935</v>
      </c>
      <c r="C99" s="1" t="s">
        <v>44</v>
      </c>
      <c r="D99" s="1" t="s">
        <v>20</v>
      </c>
      <c r="E99" s="1" t="s">
        <v>25</v>
      </c>
      <c r="F99" s="1" t="s">
        <v>55</v>
      </c>
      <c r="G99" s="1">
        <v>9</v>
      </c>
      <c r="H99" s="1">
        <v>1397.67</v>
      </c>
      <c r="I99" s="1">
        <v>0.1</v>
      </c>
      <c r="J99" s="1">
        <v>11321.09</v>
      </c>
      <c r="K99" s="1">
        <v>2332.4299999999998</v>
      </c>
      <c r="L99" s="1" t="s">
        <v>17</v>
      </c>
      <c r="M99">
        <v>5888</v>
      </c>
    </row>
    <row r="100" spans="1:13" x14ac:dyDescent="0.3">
      <c r="A100" s="1" t="s">
        <v>140</v>
      </c>
      <c r="B100" s="2">
        <v>45270</v>
      </c>
      <c r="C100" s="1" t="s">
        <v>59</v>
      </c>
      <c r="D100" s="1" t="s">
        <v>39</v>
      </c>
      <c r="E100" s="1" t="s">
        <v>15</v>
      </c>
      <c r="F100" s="1" t="s">
        <v>29</v>
      </c>
      <c r="G100" s="1">
        <v>9</v>
      </c>
      <c r="H100" s="1">
        <v>775.19</v>
      </c>
      <c r="I100" s="1">
        <v>0.05</v>
      </c>
      <c r="J100" s="1">
        <v>6627.86</v>
      </c>
      <c r="K100" s="1">
        <v>1232.04</v>
      </c>
      <c r="L100" s="1" t="s">
        <v>17</v>
      </c>
      <c r="M100">
        <v>4307</v>
      </c>
    </row>
    <row r="101" spans="1:13" x14ac:dyDescent="0.3">
      <c r="A101" s="1" t="s">
        <v>141</v>
      </c>
      <c r="B101" s="2">
        <v>45055</v>
      </c>
      <c r="C101" s="1" t="s">
        <v>36</v>
      </c>
      <c r="D101" s="1" t="s">
        <v>20</v>
      </c>
      <c r="E101" s="1" t="s">
        <v>15</v>
      </c>
      <c r="F101" s="1" t="s">
        <v>16</v>
      </c>
      <c r="G101" s="1">
        <v>6</v>
      </c>
      <c r="H101" s="1">
        <v>1885.68</v>
      </c>
      <c r="I101" s="1">
        <v>0.1</v>
      </c>
      <c r="J101" s="1">
        <v>10182.68</v>
      </c>
      <c r="K101" s="1">
        <v>1361.69</v>
      </c>
      <c r="L101" s="1" t="s">
        <v>17</v>
      </c>
      <c r="M101">
        <v>2216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41F37-2B4C-4B71-B17B-339D03F5197C}">
  <sheetPr codeName="Sheet1">
    <tabColor rgb="FFCCFF99"/>
  </sheetPr>
  <dimension ref="A2:P104"/>
  <sheetViews>
    <sheetView tabSelected="1" topLeftCell="A34" workbookViewId="0">
      <selection activeCell="A15" sqref="A15"/>
    </sheetView>
  </sheetViews>
  <sheetFormatPr defaultRowHeight="14.4" x14ac:dyDescent="0.3"/>
  <cols>
    <col min="1" max="1" width="10.77734375" bestFit="1" customWidth="1"/>
    <col min="2" max="2" width="16.44140625" bestFit="1" customWidth="1"/>
    <col min="4" max="4" width="10.77734375" bestFit="1" customWidth="1"/>
    <col min="5" max="5" width="16.44140625" bestFit="1" customWidth="1"/>
    <col min="8" max="8" width="10.77734375" bestFit="1" customWidth="1"/>
    <col min="9" max="9" width="16.44140625" bestFit="1" customWidth="1"/>
    <col min="10" max="10" width="12.33203125" bestFit="1" customWidth="1"/>
    <col min="11" max="11" width="16.44140625" bestFit="1" customWidth="1"/>
    <col min="12" max="12" width="13.33203125" bestFit="1" customWidth="1"/>
    <col min="13" max="13" width="14.88671875" bestFit="1" customWidth="1"/>
    <col min="14" max="14" width="9" bestFit="1" customWidth="1"/>
    <col min="15" max="15" width="10" bestFit="1" customWidth="1"/>
    <col min="16" max="16" width="10.77734375" bestFit="1" customWidth="1"/>
    <col min="17" max="25" width="7" bestFit="1" customWidth="1"/>
    <col min="26" max="30" width="8" bestFit="1" customWidth="1"/>
    <col min="31" max="31" width="7" bestFit="1" customWidth="1"/>
    <col min="32" max="36" width="8" bestFit="1" customWidth="1"/>
    <col min="37" max="37" width="7" bestFit="1" customWidth="1"/>
    <col min="38" max="46" width="8" bestFit="1" customWidth="1"/>
    <col min="47" max="47" width="7" bestFit="1" customWidth="1"/>
    <col min="48" max="58" width="8" bestFit="1" customWidth="1"/>
    <col min="59" max="59" width="7" bestFit="1" customWidth="1"/>
    <col min="60" max="62" width="8" bestFit="1" customWidth="1"/>
    <col min="63" max="63" width="5" bestFit="1" customWidth="1"/>
    <col min="64" max="71" width="8" bestFit="1" customWidth="1"/>
    <col min="72" max="72" width="7" bestFit="1" customWidth="1"/>
    <col min="73" max="73" width="8" bestFit="1" customWidth="1"/>
    <col min="74" max="74" width="7" bestFit="1" customWidth="1"/>
    <col min="75" max="79" width="8" bestFit="1" customWidth="1"/>
    <col min="80" max="80" width="7" bestFit="1" customWidth="1"/>
    <col min="81" max="84" width="8" bestFit="1" customWidth="1"/>
    <col min="85" max="86" width="7" bestFit="1" customWidth="1"/>
    <col min="87" max="94" width="8" bestFit="1" customWidth="1"/>
    <col min="95" max="95" width="7" bestFit="1" customWidth="1"/>
    <col min="96" max="97" width="8" bestFit="1" customWidth="1"/>
    <col min="98" max="98" width="7" bestFit="1" customWidth="1"/>
    <col min="99" max="99" width="8" bestFit="1" customWidth="1"/>
    <col min="100" max="112" width="9" bestFit="1" customWidth="1"/>
    <col min="113" max="113" width="10.77734375" bestFit="1" customWidth="1"/>
  </cols>
  <sheetData>
    <row r="2" spans="1:16" x14ac:dyDescent="0.3">
      <c r="K2" s="3" t="s">
        <v>144</v>
      </c>
      <c r="L2" s="3" t="s">
        <v>145</v>
      </c>
    </row>
    <row r="3" spans="1:16" x14ac:dyDescent="0.3">
      <c r="A3" s="3" t="s">
        <v>142</v>
      </c>
      <c r="B3" t="s">
        <v>144</v>
      </c>
      <c r="D3" s="3" t="s">
        <v>142</v>
      </c>
      <c r="E3" t="s">
        <v>144</v>
      </c>
      <c r="H3" s="3" t="s">
        <v>142</v>
      </c>
      <c r="I3" t="s">
        <v>144</v>
      </c>
      <c r="K3" s="3" t="s">
        <v>142</v>
      </c>
      <c r="L3" t="s">
        <v>20</v>
      </c>
      <c r="M3" t="s">
        <v>42</v>
      </c>
      <c r="N3" t="s">
        <v>14</v>
      </c>
      <c r="O3" t="s">
        <v>39</v>
      </c>
      <c r="P3" t="s">
        <v>143</v>
      </c>
    </row>
    <row r="4" spans="1:16" x14ac:dyDescent="0.3">
      <c r="A4" s="4" t="s">
        <v>12</v>
      </c>
      <c r="B4">
        <v>3896.18</v>
      </c>
      <c r="D4" s="4" t="s">
        <v>44</v>
      </c>
      <c r="E4">
        <v>70275.61</v>
      </c>
      <c r="H4" s="4" t="s">
        <v>44</v>
      </c>
      <c r="I4">
        <v>70275.61</v>
      </c>
      <c r="K4" s="4" t="s">
        <v>44</v>
      </c>
      <c r="L4">
        <v>22321.85</v>
      </c>
      <c r="M4">
        <v>17105.400000000001</v>
      </c>
      <c r="N4">
        <v>16727.5</v>
      </c>
      <c r="O4">
        <v>14120.86</v>
      </c>
      <c r="P4">
        <v>70275.61</v>
      </c>
    </row>
    <row r="5" spans="1:16" x14ac:dyDescent="0.3">
      <c r="A5" s="4" t="s">
        <v>18</v>
      </c>
      <c r="B5">
        <v>10204.69</v>
      </c>
      <c r="D5" s="4" t="s">
        <v>13</v>
      </c>
      <c r="E5">
        <v>51509.52</v>
      </c>
      <c r="H5" s="4" t="s">
        <v>13</v>
      </c>
      <c r="I5">
        <v>51509.52</v>
      </c>
      <c r="K5" s="4" t="s">
        <v>13</v>
      </c>
      <c r="L5">
        <v>17149.39</v>
      </c>
      <c r="M5">
        <v>2600.9299999999998</v>
      </c>
      <c r="N5">
        <v>14908.52</v>
      </c>
      <c r="O5">
        <v>16850.68</v>
      </c>
      <c r="P5">
        <v>51509.52</v>
      </c>
    </row>
    <row r="6" spans="1:16" x14ac:dyDescent="0.3">
      <c r="A6" s="4" t="s">
        <v>24</v>
      </c>
      <c r="B6">
        <v>4478.1899999999996</v>
      </c>
      <c r="D6" s="4" t="s">
        <v>59</v>
      </c>
      <c r="E6">
        <v>79934.310000000012</v>
      </c>
      <c r="H6" s="4" t="s">
        <v>59</v>
      </c>
      <c r="I6">
        <v>79934.310000000012</v>
      </c>
      <c r="K6" s="4" t="s">
        <v>59</v>
      </c>
      <c r="L6">
        <v>4557.87</v>
      </c>
      <c r="M6">
        <v>32075.27</v>
      </c>
      <c r="N6">
        <v>18627.189999999999</v>
      </c>
      <c r="O6">
        <v>24673.98</v>
      </c>
      <c r="P6">
        <v>79934.31</v>
      </c>
    </row>
    <row r="7" spans="1:16" x14ac:dyDescent="0.3">
      <c r="A7" s="4" t="s">
        <v>27</v>
      </c>
      <c r="B7">
        <v>5248.92</v>
      </c>
      <c r="D7" s="4" t="s">
        <v>51</v>
      </c>
      <c r="E7">
        <v>15214.53</v>
      </c>
      <c r="H7" s="4" t="s">
        <v>51</v>
      </c>
      <c r="I7">
        <v>15214.53</v>
      </c>
      <c r="K7" s="4" t="s">
        <v>51</v>
      </c>
      <c r="L7">
        <v>7918.02</v>
      </c>
      <c r="N7">
        <v>2149.91</v>
      </c>
      <c r="O7">
        <v>5146.6000000000004</v>
      </c>
      <c r="P7">
        <v>15214.53</v>
      </c>
    </row>
    <row r="8" spans="1:16" x14ac:dyDescent="0.3">
      <c r="A8" s="4" t="s">
        <v>31</v>
      </c>
      <c r="B8">
        <v>5617.94</v>
      </c>
      <c r="D8" s="4" t="s">
        <v>36</v>
      </c>
      <c r="E8">
        <v>30250.13</v>
      </c>
      <c r="H8" s="4" t="s">
        <v>36</v>
      </c>
      <c r="I8">
        <v>30250.13</v>
      </c>
      <c r="K8" s="4" t="s">
        <v>36</v>
      </c>
      <c r="L8">
        <v>10559.45</v>
      </c>
      <c r="N8">
        <v>7462.04</v>
      </c>
      <c r="O8">
        <v>12228.64</v>
      </c>
      <c r="P8">
        <v>30250.13</v>
      </c>
    </row>
    <row r="9" spans="1:16" x14ac:dyDescent="0.3">
      <c r="A9" s="4" t="s">
        <v>32</v>
      </c>
      <c r="B9">
        <v>6809.12</v>
      </c>
      <c r="D9" s="4" t="s">
        <v>38</v>
      </c>
      <c r="E9">
        <v>64299.18</v>
      </c>
      <c r="H9" s="4" t="s">
        <v>38</v>
      </c>
      <c r="I9">
        <v>64299.18</v>
      </c>
      <c r="K9" s="4" t="s">
        <v>38</v>
      </c>
      <c r="L9">
        <v>21575.109999999997</v>
      </c>
      <c r="M9">
        <v>17827.64</v>
      </c>
      <c r="N9">
        <v>233.71</v>
      </c>
      <c r="O9">
        <v>24662.720000000001</v>
      </c>
      <c r="P9">
        <v>64299.18</v>
      </c>
    </row>
    <row r="10" spans="1:16" x14ac:dyDescent="0.3">
      <c r="A10" s="4" t="s">
        <v>35</v>
      </c>
      <c r="B10">
        <v>7462.04</v>
      </c>
      <c r="D10" s="4" t="s">
        <v>90</v>
      </c>
      <c r="E10">
        <v>27597.87</v>
      </c>
      <c r="H10" s="4" t="s">
        <v>90</v>
      </c>
      <c r="I10">
        <v>27597.87</v>
      </c>
      <c r="K10" s="4" t="s">
        <v>90</v>
      </c>
      <c r="L10">
        <v>4876</v>
      </c>
      <c r="M10">
        <v>20581.189999999999</v>
      </c>
      <c r="O10">
        <v>2140.6799999999998</v>
      </c>
      <c r="P10">
        <v>27597.87</v>
      </c>
    </row>
    <row r="11" spans="1:16" x14ac:dyDescent="0.3">
      <c r="A11" s="4" t="s">
        <v>37</v>
      </c>
      <c r="B11">
        <v>12618.01</v>
      </c>
      <c r="D11" s="4" t="s">
        <v>28</v>
      </c>
      <c r="E11">
        <v>59508.799999999996</v>
      </c>
      <c r="H11" s="4" t="s">
        <v>28</v>
      </c>
      <c r="I11">
        <v>59508.799999999996</v>
      </c>
      <c r="K11" s="4" t="s">
        <v>28</v>
      </c>
      <c r="L11">
        <v>31642.61</v>
      </c>
      <c r="M11">
        <v>2306.81</v>
      </c>
      <c r="N11">
        <v>15844.669999999998</v>
      </c>
      <c r="O11">
        <v>9714.7099999999991</v>
      </c>
      <c r="P11">
        <v>59508.799999999996</v>
      </c>
    </row>
    <row r="12" spans="1:16" x14ac:dyDescent="0.3">
      <c r="A12" s="4" t="s">
        <v>41</v>
      </c>
      <c r="B12">
        <v>2600.9299999999998</v>
      </c>
      <c r="D12" s="4" t="s">
        <v>33</v>
      </c>
      <c r="E12">
        <v>57207.4</v>
      </c>
      <c r="H12" s="4" t="s">
        <v>33</v>
      </c>
      <c r="I12">
        <v>57207.4</v>
      </c>
      <c r="K12" s="4" t="s">
        <v>33</v>
      </c>
      <c r="L12">
        <v>24647.840000000004</v>
      </c>
      <c r="M12">
        <v>12572.260000000002</v>
      </c>
      <c r="N12">
        <v>19146.86</v>
      </c>
      <c r="O12">
        <v>840.44</v>
      </c>
      <c r="P12">
        <v>57207.400000000009</v>
      </c>
    </row>
    <row r="13" spans="1:16" x14ac:dyDescent="0.3">
      <c r="A13" s="4" t="s">
        <v>43</v>
      </c>
      <c r="B13">
        <v>3093.91</v>
      </c>
      <c r="D13" s="4" t="s">
        <v>19</v>
      </c>
      <c r="E13">
        <v>35277.78</v>
      </c>
      <c r="H13" s="4" t="s">
        <v>19</v>
      </c>
      <c r="I13">
        <v>35277.78</v>
      </c>
      <c r="K13" s="4" t="s">
        <v>19</v>
      </c>
      <c r="L13">
        <v>11218.630000000001</v>
      </c>
      <c r="N13">
        <v>4349.3100000000004</v>
      </c>
      <c r="O13">
        <v>19709.84</v>
      </c>
      <c r="P13">
        <v>35277.78</v>
      </c>
    </row>
    <row r="14" spans="1:16" x14ac:dyDescent="0.3">
      <c r="A14" s="4" t="s">
        <v>46</v>
      </c>
      <c r="B14">
        <v>2325.3000000000002</v>
      </c>
      <c r="D14" s="4" t="s">
        <v>143</v>
      </c>
      <c r="E14">
        <v>491075.13</v>
      </c>
      <c r="H14" s="4" t="s">
        <v>143</v>
      </c>
      <c r="I14">
        <v>491075.13</v>
      </c>
      <c r="K14" s="4" t="s">
        <v>143</v>
      </c>
      <c r="L14">
        <v>156466.77000000002</v>
      </c>
      <c r="M14">
        <v>105069.5</v>
      </c>
      <c r="N14">
        <v>99449.709999999992</v>
      </c>
      <c r="O14">
        <v>130089.15</v>
      </c>
      <c r="P14">
        <v>491075.13</v>
      </c>
    </row>
    <row r="15" spans="1:16" x14ac:dyDescent="0.3">
      <c r="A15" s="4" t="s">
        <v>47</v>
      </c>
      <c r="B15">
        <v>976.78</v>
      </c>
    </row>
    <row r="16" spans="1:16" x14ac:dyDescent="0.3">
      <c r="A16" s="4" t="s">
        <v>49</v>
      </c>
      <c r="B16">
        <v>8675.4599999999991</v>
      </c>
      <c r="H16" s="3" t="s">
        <v>142</v>
      </c>
      <c r="I16" t="s">
        <v>144</v>
      </c>
      <c r="K16" s="3" t="s">
        <v>144</v>
      </c>
      <c r="L16" s="3" t="s">
        <v>145</v>
      </c>
    </row>
    <row r="17" spans="1:13" x14ac:dyDescent="0.3">
      <c r="A17" s="4" t="s">
        <v>50</v>
      </c>
      <c r="B17">
        <v>5146.6000000000004</v>
      </c>
      <c r="H17" s="4" t="s">
        <v>146</v>
      </c>
      <c r="I17">
        <v>47322.349999999991</v>
      </c>
      <c r="K17" s="3" t="s">
        <v>142</v>
      </c>
      <c r="L17" t="s">
        <v>21</v>
      </c>
      <c r="M17" t="s">
        <v>143</v>
      </c>
    </row>
    <row r="18" spans="1:13" x14ac:dyDescent="0.3">
      <c r="A18" s="4" t="s">
        <v>53</v>
      </c>
      <c r="B18">
        <v>473.46</v>
      </c>
      <c r="H18" s="4" t="s">
        <v>147</v>
      </c>
      <c r="I18">
        <v>62559.839999999997</v>
      </c>
      <c r="K18" s="4" t="s">
        <v>44</v>
      </c>
      <c r="L18">
        <v>16396.84</v>
      </c>
      <c r="M18">
        <v>16396.84</v>
      </c>
    </row>
    <row r="19" spans="1:13" x14ac:dyDescent="0.3">
      <c r="A19" s="4" t="s">
        <v>54</v>
      </c>
      <c r="B19">
        <v>6344.46</v>
      </c>
      <c r="H19" s="4" t="s">
        <v>148</v>
      </c>
      <c r="I19">
        <v>19909.03</v>
      </c>
      <c r="K19" s="5" t="s">
        <v>14</v>
      </c>
      <c r="L19">
        <v>16396.84</v>
      </c>
      <c r="M19">
        <v>16396.84</v>
      </c>
    </row>
    <row r="20" spans="1:13" x14ac:dyDescent="0.3">
      <c r="A20" s="4" t="s">
        <v>56</v>
      </c>
      <c r="B20">
        <v>1522.6</v>
      </c>
      <c r="H20" s="4" t="s">
        <v>149</v>
      </c>
      <c r="I20">
        <v>44310.17</v>
      </c>
      <c r="K20" s="4" t="s">
        <v>59</v>
      </c>
      <c r="L20">
        <v>5666.71</v>
      </c>
      <c r="M20">
        <v>5666.71</v>
      </c>
    </row>
    <row r="21" spans="1:13" x14ac:dyDescent="0.3">
      <c r="A21" s="4" t="s">
        <v>57</v>
      </c>
      <c r="B21">
        <v>8148.57</v>
      </c>
      <c r="H21" s="4" t="s">
        <v>150</v>
      </c>
      <c r="I21">
        <v>22554.239999999998</v>
      </c>
      <c r="K21" s="5" t="s">
        <v>14</v>
      </c>
      <c r="L21">
        <v>5666.71</v>
      </c>
      <c r="M21">
        <v>5666.71</v>
      </c>
    </row>
    <row r="22" spans="1:13" x14ac:dyDescent="0.3">
      <c r="A22" s="4" t="s">
        <v>58</v>
      </c>
      <c r="B22">
        <v>12149.99</v>
      </c>
      <c r="H22" s="4" t="s">
        <v>151</v>
      </c>
      <c r="I22">
        <v>24101.27</v>
      </c>
      <c r="K22" s="4" t="s">
        <v>36</v>
      </c>
      <c r="L22">
        <v>7462.04</v>
      </c>
      <c r="M22">
        <v>7462.04</v>
      </c>
    </row>
    <row r="23" spans="1:13" x14ac:dyDescent="0.3">
      <c r="A23" s="4" t="s">
        <v>60</v>
      </c>
      <c r="B23">
        <v>9796.7000000000007</v>
      </c>
      <c r="H23" s="4" t="s">
        <v>152</v>
      </c>
      <c r="I23">
        <v>33977.269999999997</v>
      </c>
      <c r="K23" s="5" t="s">
        <v>14</v>
      </c>
      <c r="L23">
        <v>7462.04</v>
      </c>
      <c r="M23">
        <v>7462.04</v>
      </c>
    </row>
    <row r="24" spans="1:13" x14ac:dyDescent="0.3">
      <c r="A24" s="4" t="s">
        <v>61</v>
      </c>
      <c r="B24">
        <v>3322.07</v>
      </c>
      <c r="H24" s="4" t="s">
        <v>153</v>
      </c>
      <c r="I24">
        <v>50714.99</v>
      </c>
      <c r="K24" s="4" t="s">
        <v>28</v>
      </c>
      <c r="L24">
        <v>7048.31</v>
      </c>
      <c r="M24">
        <v>7048.31</v>
      </c>
    </row>
    <row r="25" spans="1:13" x14ac:dyDescent="0.3">
      <c r="A25" s="4" t="s">
        <v>62</v>
      </c>
      <c r="B25">
        <v>582.52</v>
      </c>
      <c r="H25" s="4" t="s">
        <v>154</v>
      </c>
      <c r="I25">
        <v>42323.599999999991</v>
      </c>
      <c r="K25" s="5" t="s">
        <v>14</v>
      </c>
      <c r="L25">
        <v>7048.31</v>
      </c>
      <c r="M25">
        <v>7048.31</v>
      </c>
    </row>
    <row r="26" spans="1:13" x14ac:dyDescent="0.3">
      <c r="A26" s="4" t="s">
        <v>63</v>
      </c>
      <c r="B26">
        <v>10583.44</v>
      </c>
      <c r="H26" s="4" t="s">
        <v>155</v>
      </c>
      <c r="I26">
        <v>47650.590000000004</v>
      </c>
      <c r="K26" s="4" t="s">
        <v>33</v>
      </c>
      <c r="L26">
        <v>12337.740000000002</v>
      </c>
      <c r="M26">
        <v>12337.740000000002</v>
      </c>
    </row>
    <row r="27" spans="1:13" x14ac:dyDescent="0.3">
      <c r="A27" s="4" t="s">
        <v>64</v>
      </c>
      <c r="B27">
        <v>376.77</v>
      </c>
      <c r="H27" s="4" t="s">
        <v>156</v>
      </c>
      <c r="I27">
        <v>40175.599999999999</v>
      </c>
      <c r="K27" s="5" t="s">
        <v>14</v>
      </c>
      <c r="L27">
        <v>12337.740000000002</v>
      </c>
      <c r="M27">
        <v>12337.740000000002</v>
      </c>
    </row>
    <row r="28" spans="1:13" x14ac:dyDescent="0.3">
      <c r="A28" s="4" t="s">
        <v>65</v>
      </c>
      <c r="B28">
        <v>7559.21</v>
      </c>
      <c r="H28" s="4" t="s">
        <v>157</v>
      </c>
      <c r="I28">
        <v>55476.180000000008</v>
      </c>
      <c r="K28" s="4" t="s">
        <v>19</v>
      </c>
      <c r="L28">
        <v>4349.3100000000004</v>
      </c>
      <c r="M28">
        <v>4349.3100000000004</v>
      </c>
    </row>
    <row r="29" spans="1:13" x14ac:dyDescent="0.3">
      <c r="A29" s="4" t="s">
        <v>66</v>
      </c>
      <c r="B29">
        <v>5004.71</v>
      </c>
      <c r="H29" s="4" t="s">
        <v>143</v>
      </c>
      <c r="I29">
        <v>491075.12999999995</v>
      </c>
      <c r="K29" s="5" t="s">
        <v>14</v>
      </c>
      <c r="L29">
        <v>4349.3100000000004</v>
      </c>
      <c r="M29">
        <v>4349.3100000000004</v>
      </c>
    </row>
    <row r="30" spans="1:13" x14ac:dyDescent="0.3">
      <c r="A30" s="4" t="s">
        <v>67</v>
      </c>
      <c r="B30">
        <v>2200.0500000000002</v>
      </c>
      <c r="K30" s="4" t="s">
        <v>143</v>
      </c>
      <c r="L30">
        <v>53260.95</v>
      </c>
      <c r="M30">
        <v>53260.95</v>
      </c>
    </row>
    <row r="31" spans="1:13" x14ac:dyDescent="0.3">
      <c r="A31" s="4" t="s">
        <v>68</v>
      </c>
      <c r="B31">
        <v>2306.81</v>
      </c>
    </row>
    <row r="32" spans="1:13" x14ac:dyDescent="0.3">
      <c r="A32" s="4" t="s">
        <v>69</v>
      </c>
      <c r="B32">
        <v>3758.56</v>
      </c>
    </row>
    <row r="33" spans="1:13" x14ac:dyDescent="0.3">
      <c r="A33" s="4" t="s">
        <v>70</v>
      </c>
      <c r="B33">
        <v>5896.13</v>
      </c>
    </row>
    <row r="34" spans="1:13" x14ac:dyDescent="0.3">
      <c r="A34" s="4" t="s">
        <v>71</v>
      </c>
      <c r="B34">
        <v>1013.94</v>
      </c>
      <c r="L34" s="3" t="s">
        <v>142</v>
      </c>
      <c r="M34" t="s">
        <v>159</v>
      </c>
    </row>
    <row r="35" spans="1:13" x14ac:dyDescent="0.3">
      <c r="A35" s="4" t="s">
        <v>72</v>
      </c>
      <c r="B35">
        <v>7335.5</v>
      </c>
      <c r="L35" s="4" t="s">
        <v>59</v>
      </c>
      <c r="M35" s="6">
        <v>0.38565022421524664</v>
      </c>
    </row>
    <row r="36" spans="1:13" x14ac:dyDescent="0.3">
      <c r="A36" s="4" t="s">
        <v>73</v>
      </c>
      <c r="B36">
        <v>1422.01</v>
      </c>
      <c r="L36" s="4" t="s">
        <v>28</v>
      </c>
      <c r="M36" s="6">
        <v>0.31390134529147984</v>
      </c>
    </row>
    <row r="37" spans="1:13" x14ac:dyDescent="0.3">
      <c r="A37" s="4" t="s">
        <v>74</v>
      </c>
      <c r="B37">
        <v>3173.66</v>
      </c>
      <c r="H37" s="3" t="s">
        <v>142</v>
      </c>
      <c r="I37" t="s">
        <v>144</v>
      </c>
      <c r="J37" t="s">
        <v>158</v>
      </c>
      <c r="L37" s="4" t="s">
        <v>33</v>
      </c>
      <c r="M37" s="6">
        <v>0.30044843049327352</v>
      </c>
    </row>
    <row r="38" spans="1:13" x14ac:dyDescent="0.3">
      <c r="A38" s="4" t="s">
        <v>75</v>
      </c>
      <c r="B38">
        <v>4349.3100000000004</v>
      </c>
      <c r="H38" s="4" t="s">
        <v>146</v>
      </c>
      <c r="I38">
        <v>47322.349999999991</v>
      </c>
      <c r="J38">
        <v>2366.1174999999998</v>
      </c>
      <c r="L38" s="4" t="s">
        <v>143</v>
      </c>
      <c r="M38" s="6">
        <v>1</v>
      </c>
    </row>
    <row r="39" spans="1:13" x14ac:dyDescent="0.3">
      <c r="A39" s="4" t="s">
        <v>76</v>
      </c>
      <c r="B39">
        <v>5437.1</v>
      </c>
      <c r="H39" s="4" t="s">
        <v>147</v>
      </c>
      <c r="I39">
        <v>62559.839999999997</v>
      </c>
      <c r="J39">
        <v>3127.9920000000002</v>
      </c>
    </row>
    <row r="40" spans="1:13" x14ac:dyDescent="0.3">
      <c r="A40" s="4" t="s">
        <v>77</v>
      </c>
      <c r="B40">
        <v>6997.11</v>
      </c>
      <c r="H40" s="4" t="s">
        <v>148</v>
      </c>
      <c r="I40">
        <v>19909.03</v>
      </c>
      <c r="J40">
        <v>995.45150000000001</v>
      </c>
    </row>
    <row r="41" spans="1:13" x14ac:dyDescent="0.3">
      <c r="A41" s="4" t="s">
        <v>78</v>
      </c>
      <c r="B41">
        <v>1267.8900000000001</v>
      </c>
      <c r="H41" s="4" t="s">
        <v>149</v>
      </c>
      <c r="I41">
        <v>44310.17</v>
      </c>
      <c r="J41">
        <v>2215.5084999999999</v>
      </c>
    </row>
    <row r="42" spans="1:13" x14ac:dyDescent="0.3">
      <c r="A42" s="4" t="s">
        <v>79</v>
      </c>
      <c r="B42">
        <v>1185.32</v>
      </c>
      <c r="H42" s="4" t="s">
        <v>150</v>
      </c>
      <c r="I42">
        <v>22554.239999999998</v>
      </c>
      <c r="J42">
        <v>1127.712</v>
      </c>
    </row>
    <row r="43" spans="1:13" x14ac:dyDescent="0.3">
      <c r="A43" s="4" t="s">
        <v>80</v>
      </c>
      <c r="B43">
        <v>1373.07</v>
      </c>
      <c r="H43" s="4" t="s">
        <v>151</v>
      </c>
      <c r="I43">
        <v>24101.27</v>
      </c>
      <c r="J43">
        <v>1205.0635</v>
      </c>
    </row>
    <row r="44" spans="1:13" x14ac:dyDescent="0.3">
      <c r="A44" s="4" t="s">
        <v>81</v>
      </c>
      <c r="B44">
        <v>3167.88</v>
      </c>
      <c r="H44" s="4" t="s">
        <v>152</v>
      </c>
      <c r="I44">
        <v>33977.269999999997</v>
      </c>
      <c r="J44">
        <v>1698.8634999999999</v>
      </c>
    </row>
    <row r="45" spans="1:13" x14ac:dyDescent="0.3">
      <c r="A45" s="4" t="s">
        <v>82</v>
      </c>
      <c r="B45">
        <v>1572.91</v>
      </c>
      <c r="H45" s="4" t="s">
        <v>153</v>
      </c>
      <c r="I45">
        <v>50714.99</v>
      </c>
      <c r="J45">
        <v>2535.7494999999999</v>
      </c>
    </row>
    <row r="46" spans="1:13" x14ac:dyDescent="0.3">
      <c r="A46" s="4" t="s">
        <v>83</v>
      </c>
      <c r="B46">
        <v>4231</v>
      </c>
      <c r="H46" s="4" t="s">
        <v>154</v>
      </c>
      <c r="I46">
        <v>42323.599999999991</v>
      </c>
      <c r="J46">
        <v>2116.1799999999998</v>
      </c>
    </row>
    <row r="47" spans="1:13" x14ac:dyDescent="0.3">
      <c r="A47" s="4" t="s">
        <v>84</v>
      </c>
      <c r="B47">
        <v>330.66</v>
      </c>
      <c r="H47" s="4" t="s">
        <v>155</v>
      </c>
      <c r="I47">
        <v>47650.590000000004</v>
      </c>
      <c r="J47">
        <v>2382.5295000000001</v>
      </c>
    </row>
    <row r="48" spans="1:13" x14ac:dyDescent="0.3">
      <c r="A48" s="4" t="s">
        <v>85</v>
      </c>
      <c r="B48">
        <v>1012.04</v>
      </c>
      <c r="H48" s="4" t="s">
        <v>156</v>
      </c>
      <c r="I48">
        <v>40175.599999999999</v>
      </c>
      <c r="J48">
        <v>2008.78</v>
      </c>
    </row>
    <row r="49" spans="1:10" x14ac:dyDescent="0.3">
      <c r="A49" s="4" t="s">
        <v>86</v>
      </c>
      <c r="B49">
        <v>8238.2099999999991</v>
      </c>
      <c r="H49" s="4" t="s">
        <v>157</v>
      </c>
      <c r="I49">
        <v>55476.180000000008</v>
      </c>
      <c r="J49">
        <v>2773.8090000000007</v>
      </c>
    </row>
    <row r="50" spans="1:10" x14ac:dyDescent="0.3">
      <c r="A50" s="4" t="s">
        <v>87</v>
      </c>
      <c r="B50">
        <v>2519.3200000000002</v>
      </c>
      <c r="H50" s="4" t="s">
        <v>143</v>
      </c>
      <c r="I50">
        <v>491075.12999999995</v>
      </c>
      <c r="J50">
        <v>24553.7565</v>
      </c>
    </row>
    <row r="51" spans="1:10" x14ac:dyDescent="0.3">
      <c r="A51" s="4" t="s">
        <v>88</v>
      </c>
      <c r="B51">
        <v>10686.59</v>
      </c>
    </row>
    <row r="52" spans="1:10" x14ac:dyDescent="0.3">
      <c r="A52" s="4" t="s">
        <v>89</v>
      </c>
      <c r="B52">
        <v>2140.6799999999998</v>
      </c>
    </row>
    <row r="53" spans="1:10" x14ac:dyDescent="0.3">
      <c r="A53" s="4" t="s">
        <v>91</v>
      </c>
      <c r="B53">
        <v>3806.5</v>
      </c>
    </row>
    <row r="54" spans="1:10" x14ac:dyDescent="0.3">
      <c r="A54" s="4" t="s">
        <v>92</v>
      </c>
      <c r="B54">
        <v>8872.99</v>
      </c>
    </row>
    <row r="55" spans="1:10" x14ac:dyDescent="0.3">
      <c r="A55" s="4" t="s">
        <v>93</v>
      </c>
      <c r="B55">
        <v>6001.47</v>
      </c>
    </row>
    <row r="56" spans="1:10" x14ac:dyDescent="0.3">
      <c r="A56" s="4" t="s">
        <v>94</v>
      </c>
      <c r="B56">
        <v>233.71</v>
      </c>
    </row>
    <row r="57" spans="1:10" x14ac:dyDescent="0.3">
      <c r="A57" s="4" t="s">
        <v>95</v>
      </c>
      <c r="B57">
        <v>4838.9399999999996</v>
      </c>
    </row>
    <row r="58" spans="1:10" x14ac:dyDescent="0.3">
      <c r="A58" s="4" t="s">
        <v>96</v>
      </c>
      <c r="B58">
        <v>11741.74</v>
      </c>
    </row>
    <row r="59" spans="1:10" x14ac:dyDescent="0.3">
      <c r="A59" s="4" t="s">
        <v>97</v>
      </c>
      <c r="B59">
        <v>840.44</v>
      </c>
    </row>
    <row r="60" spans="1:10" x14ac:dyDescent="0.3">
      <c r="A60" s="4" t="s">
        <v>98</v>
      </c>
      <c r="B60">
        <v>12263.42</v>
      </c>
    </row>
    <row r="61" spans="1:10" x14ac:dyDescent="0.3">
      <c r="A61" s="4" t="s">
        <v>99</v>
      </c>
      <c r="B61">
        <v>7064.98</v>
      </c>
    </row>
    <row r="62" spans="1:10" x14ac:dyDescent="0.3">
      <c r="A62" s="4" t="s">
        <v>100</v>
      </c>
      <c r="B62">
        <v>2613.0700000000002</v>
      </c>
    </row>
    <row r="63" spans="1:10" x14ac:dyDescent="0.3">
      <c r="A63" s="4" t="s">
        <v>101</v>
      </c>
      <c r="B63">
        <v>1163.1199999999999</v>
      </c>
    </row>
    <row r="64" spans="1:10" x14ac:dyDescent="0.3">
      <c r="A64" s="4" t="s">
        <v>102</v>
      </c>
      <c r="B64">
        <v>9714.7099999999991</v>
      </c>
    </row>
    <row r="65" spans="1:2" x14ac:dyDescent="0.3">
      <c r="A65" s="4" t="s">
        <v>103</v>
      </c>
      <c r="B65">
        <v>4810.63</v>
      </c>
    </row>
    <row r="66" spans="1:2" x14ac:dyDescent="0.3">
      <c r="A66" s="4" t="s">
        <v>104</v>
      </c>
      <c r="B66">
        <v>4739.04</v>
      </c>
    </row>
    <row r="67" spans="1:2" x14ac:dyDescent="0.3">
      <c r="A67" s="4" t="s">
        <v>105</v>
      </c>
      <c r="B67">
        <v>12712.73</v>
      </c>
    </row>
    <row r="68" spans="1:2" x14ac:dyDescent="0.3">
      <c r="A68" s="4" t="s">
        <v>106</v>
      </c>
      <c r="B68">
        <v>3951.65</v>
      </c>
    </row>
    <row r="69" spans="1:2" x14ac:dyDescent="0.3">
      <c r="A69" s="4" t="s">
        <v>107</v>
      </c>
      <c r="B69">
        <v>1608.18</v>
      </c>
    </row>
    <row r="70" spans="1:2" x14ac:dyDescent="0.3">
      <c r="A70" s="4" t="s">
        <v>108</v>
      </c>
      <c r="B70">
        <v>892.21</v>
      </c>
    </row>
    <row r="71" spans="1:2" x14ac:dyDescent="0.3">
      <c r="A71" s="4" t="s">
        <v>109</v>
      </c>
      <c r="B71">
        <v>1709.88</v>
      </c>
    </row>
    <row r="72" spans="1:2" x14ac:dyDescent="0.3">
      <c r="A72" s="4" t="s">
        <v>110</v>
      </c>
      <c r="B72">
        <v>1461.38</v>
      </c>
    </row>
    <row r="73" spans="1:2" x14ac:dyDescent="0.3">
      <c r="A73" s="4" t="s">
        <v>111</v>
      </c>
      <c r="B73">
        <v>8463.99</v>
      </c>
    </row>
    <row r="74" spans="1:2" x14ac:dyDescent="0.3">
      <c r="A74" s="4" t="s">
        <v>112</v>
      </c>
      <c r="B74">
        <v>8790.6</v>
      </c>
    </row>
    <row r="75" spans="1:2" x14ac:dyDescent="0.3">
      <c r="A75" s="4" t="s">
        <v>113</v>
      </c>
      <c r="B75">
        <v>1455.62</v>
      </c>
    </row>
    <row r="76" spans="1:2" x14ac:dyDescent="0.3">
      <c r="A76" s="4" t="s">
        <v>114</v>
      </c>
      <c r="B76">
        <v>1350.6</v>
      </c>
    </row>
    <row r="77" spans="1:2" x14ac:dyDescent="0.3">
      <c r="A77" s="4" t="s">
        <v>115</v>
      </c>
      <c r="B77">
        <v>3891.04</v>
      </c>
    </row>
    <row r="78" spans="1:2" x14ac:dyDescent="0.3">
      <c r="A78" s="4" t="s">
        <v>116</v>
      </c>
      <c r="B78">
        <v>3420.38</v>
      </c>
    </row>
    <row r="79" spans="1:2" x14ac:dyDescent="0.3">
      <c r="A79" s="4" t="s">
        <v>117</v>
      </c>
      <c r="B79">
        <v>7270.4</v>
      </c>
    </row>
    <row r="80" spans="1:2" x14ac:dyDescent="0.3">
      <c r="A80" s="4" t="s">
        <v>118</v>
      </c>
      <c r="B80">
        <v>2238.62</v>
      </c>
    </row>
    <row r="81" spans="1:2" x14ac:dyDescent="0.3">
      <c r="A81" s="4" t="s">
        <v>119</v>
      </c>
      <c r="B81">
        <v>1611.21</v>
      </c>
    </row>
    <row r="82" spans="1:2" x14ac:dyDescent="0.3">
      <c r="A82" s="4" t="s">
        <v>120</v>
      </c>
      <c r="B82">
        <v>2478.17</v>
      </c>
    </row>
    <row r="83" spans="1:2" x14ac:dyDescent="0.3">
      <c r="A83" s="4" t="s">
        <v>121</v>
      </c>
      <c r="B83">
        <v>626.07000000000005</v>
      </c>
    </row>
    <row r="84" spans="1:2" x14ac:dyDescent="0.3">
      <c r="A84" s="4" t="s">
        <v>122</v>
      </c>
      <c r="B84">
        <v>7756.51</v>
      </c>
    </row>
    <row r="85" spans="1:2" x14ac:dyDescent="0.3">
      <c r="A85" s="4" t="s">
        <v>123</v>
      </c>
      <c r="B85">
        <v>2541.04</v>
      </c>
    </row>
    <row r="86" spans="1:2" x14ac:dyDescent="0.3">
      <c r="A86" s="4" t="s">
        <v>124</v>
      </c>
      <c r="B86">
        <v>11483.18</v>
      </c>
    </row>
    <row r="87" spans="1:2" x14ac:dyDescent="0.3">
      <c r="A87" s="4" t="s">
        <v>125</v>
      </c>
      <c r="B87">
        <v>13708.81</v>
      </c>
    </row>
    <row r="88" spans="1:2" x14ac:dyDescent="0.3">
      <c r="A88" s="4" t="s">
        <v>126</v>
      </c>
      <c r="B88">
        <v>4257.91</v>
      </c>
    </row>
    <row r="89" spans="1:2" x14ac:dyDescent="0.3">
      <c r="A89" s="4" t="s">
        <v>127</v>
      </c>
      <c r="B89">
        <v>5669.79</v>
      </c>
    </row>
    <row r="90" spans="1:2" x14ac:dyDescent="0.3">
      <c r="A90" s="4" t="s">
        <v>128</v>
      </c>
      <c r="B90">
        <v>7505.83</v>
      </c>
    </row>
    <row r="91" spans="1:2" x14ac:dyDescent="0.3">
      <c r="A91" s="4" t="s">
        <v>129</v>
      </c>
      <c r="B91">
        <v>12987.75</v>
      </c>
    </row>
    <row r="92" spans="1:2" x14ac:dyDescent="0.3">
      <c r="A92" s="4" t="s">
        <v>130</v>
      </c>
      <c r="B92">
        <v>2149.91</v>
      </c>
    </row>
    <row r="93" spans="1:2" x14ac:dyDescent="0.3">
      <c r="A93" s="4" t="s">
        <v>131</v>
      </c>
      <c r="B93">
        <v>4729.96</v>
      </c>
    </row>
    <row r="94" spans="1:2" x14ac:dyDescent="0.3">
      <c r="A94" s="4" t="s">
        <v>132</v>
      </c>
      <c r="B94">
        <v>9889.86</v>
      </c>
    </row>
    <row r="95" spans="1:2" x14ac:dyDescent="0.3">
      <c r="A95" s="4" t="s">
        <v>133</v>
      </c>
      <c r="B95">
        <v>6503.5</v>
      </c>
    </row>
    <row r="96" spans="1:2" x14ac:dyDescent="0.3">
      <c r="A96" s="4" t="s">
        <v>134</v>
      </c>
      <c r="B96">
        <v>936.75</v>
      </c>
    </row>
    <row r="97" spans="1:2" x14ac:dyDescent="0.3">
      <c r="A97" s="4" t="s">
        <v>135</v>
      </c>
      <c r="B97">
        <v>525.75</v>
      </c>
    </row>
    <row r="98" spans="1:2" x14ac:dyDescent="0.3">
      <c r="A98" s="4" t="s">
        <v>136</v>
      </c>
      <c r="B98">
        <v>1458.92</v>
      </c>
    </row>
    <row r="99" spans="1:2" x14ac:dyDescent="0.3">
      <c r="A99" s="4" t="s">
        <v>137</v>
      </c>
      <c r="B99">
        <v>577.16999999999996</v>
      </c>
    </row>
    <row r="100" spans="1:2" x14ac:dyDescent="0.3">
      <c r="A100" s="4" t="s">
        <v>138</v>
      </c>
      <c r="B100">
        <v>989.05</v>
      </c>
    </row>
    <row r="101" spans="1:2" x14ac:dyDescent="0.3">
      <c r="A101" s="4" t="s">
        <v>139</v>
      </c>
      <c r="B101">
        <v>11321.09</v>
      </c>
    </row>
    <row r="102" spans="1:2" x14ac:dyDescent="0.3">
      <c r="A102" s="4" t="s">
        <v>140</v>
      </c>
      <c r="B102">
        <v>6627.86</v>
      </c>
    </row>
    <row r="103" spans="1:2" x14ac:dyDescent="0.3">
      <c r="A103" s="4" t="s">
        <v>141</v>
      </c>
      <c r="B103">
        <v>10182.68</v>
      </c>
    </row>
    <row r="104" spans="1:2" x14ac:dyDescent="0.3">
      <c r="A104" s="4" t="s">
        <v>143</v>
      </c>
      <c r="B104">
        <v>491075.12999999983</v>
      </c>
    </row>
  </sheetData>
  <pageMargins left="0.7" right="0.7" top="0.75" bottom="0.75" header="0.3" footer="0.3"/>
  <drawing r:id="rId9"/>
  <extLst>
    <ext xmlns:x14="http://schemas.microsoft.com/office/spreadsheetml/2009/9/main" uri="{A8765BA9-456A-4dab-B4F3-ACF838C121DE}">
      <x14:slicerList>
        <x14:slicer r:id="rId10"/>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Pivot_Table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amrita majumdar</dc:creator>
  <cp:lastModifiedBy>amrita majumdar</cp:lastModifiedBy>
  <dcterms:created xsi:type="dcterms:W3CDTF">2026-03-16T07:01:28Z</dcterms:created>
  <dcterms:modified xsi:type="dcterms:W3CDTF">2026-03-16T11:19:21Z</dcterms:modified>
</cp:coreProperties>
</file>