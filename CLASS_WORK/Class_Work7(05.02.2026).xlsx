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46aadce5fdbd82/Desktop/"/>
    </mc:Choice>
  </mc:AlternateContent>
  <xr:revisionPtr revIDLastSave="0" documentId="8_{7C73F018-ABD0-49BC-898B-3A5F265BF6E8}" xr6:coauthVersionLast="47" xr6:coauthVersionMax="47" xr10:uidLastSave="{00000000-0000-0000-0000-000000000000}"/>
  <bookViews>
    <workbookView xWindow="-108" yWindow="-108" windowWidth="23256" windowHeight="12456" activeTab="4" xr2:uid="{8739305A-DE69-4C5C-8AE5-001199ABDEA6}"/>
  </bookViews>
  <sheets>
    <sheet name="1stYear" sheetId="1" r:id="rId1"/>
    <sheet name="2ndYear" sheetId="2" r:id="rId2"/>
    <sheet name="3rdYear" sheetId="3" r:id="rId3"/>
    <sheet name="TOTAL" sheetId="6" r:id="rId4"/>
    <sheet name="DATA_VALID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6" l="1"/>
  <c r="N12" i="6"/>
  <c r="N15" i="6" s="1"/>
  <c r="O12" i="6"/>
  <c r="O15" i="6" s="1"/>
  <c r="M13" i="6"/>
  <c r="M15" i="6" s="1"/>
  <c r="N13" i="6"/>
  <c r="O13" i="6"/>
  <c r="M14" i="6"/>
  <c r="N14" i="6"/>
  <c r="O14" i="6"/>
  <c r="M16" i="6"/>
  <c r="M19" i="6" s="1"/>
  <c r="N16" i="6"/>
  <c r="N19" i="6" s="1"/>
  <c r="O16" i="6"/>
  <c r="O19" i="6" s="1"/>
  <c r="M17" i="6"/>
  <c r="N17" i="6"/>
  <c r="O17" i="6"/>
  <c r="M18" i="6"/>
  <c r="N18" i="6"/>
  <c r="O18" i="6"/>
  <c r="M20" i="6"/>
  <c r="N20" i="6"/>
  <c r="N23" i="6" s="1"/>
  <c r="O20" i="6"/>
  <c r="O23" i="6" s="1"/>
  <c r="M21" i="6"/>
  <c r="N21" i="6"/>
  <c r="O21" i="6"/>
  <c r="M22" i="6"/>
  <c r="N22" i="6"/>
  <c r="O22" i="6"/>
  <c r="M24" i="6"/>
  <c r="N24" i="6"/>
  <c r="N27" i="6" s="1"/>
  <c r="O24" i="6"/>
  <c r="O27" i="6" s="1"/>
  <c r="M25" i="6"/>
  <c r="N25" i="6"/>
  <c r="O25" i="6"/>
  <c r="M26" i="6"/>
  <c r="N26" i="6"/>
  <c r="O26" i="6"/>
  <c r="M28" i="6"/>
  <c r="M31" i="6" s="1"/>
  <c r="N28" i="6"/>
  <c r="N31" i="6" s="1"/>
  <c r="O28" i="6"/>
  <c r="O31" i="6" s="1"/>
  <c r="M29" i="6"/>
  <c r="N29" i="6"/>
  <c r="O29" i="6"/>
  <c r="M30" i="6"/>
  <c r="N30" i="6"/>
  <c r="O30" i="6"/>
  <c r="M32" i="6"/>
  <c r="M35" i="6" s="1"/>
  <c r="N32" i="6"/>
  <c r="N35" i="6" s="1"/>
  <c r="O32" i="6"/>
  <c r="O35" i="6" s="1"/>
  <c r="M33" i="6"/>
  <c r="N33" i="6"/>
  <c r="O33" i="6"/>
  <c r="M34" i="6"/>
  <c r="N34" i="6"/>
  <c r="O34" i="6"/>
  <c r="M36" i="6"/>
  <c r="N36" i="6"/>
  <c r="N39" i="6" s="1"/>
  <c r="O36" i="6"/>
  <c r="O39" i="6" s="1"/>
  <c r="M37" i="6"/>
  <c r="N37" i="6"/>
  <c r="O37" i="6"/>
  <c r="M38" i="6"/>
  <c r="N38" i="6"/>
  <c r="O38" i="6"/>
  <c r="C3" i="6"/>
  <c r="D3" i="6"/>
  <c r="C4" i="6"/>
  <c r="D4" i="6"/>
  <c r="C5" i="6"/>
  <c r="D5" i="6"/>
  <c r="C6" i="6"/>
  <c r="D6" i="6"/>
  <c r="C7" i="6"/>
  <c r="D7" i="6"/>
  <c r="C8" i="6"/>
  <c r="D8" i="6"/>
  <c r="C9" i="6"/>
  <c r="D9" i="6"/>
  <c r="B4" i="6"/>
  <c r="B5" i="6"/>
  <c r="B6" i="6"/>
  <c r="B7" i="6"/>
  <c r="B8" i="6"/>
  <c r="B9" i="6"/>
  <c r="B3" i="6"/>
  <c r="M23" i="6" l="1"/>
  <c r="M39" i="6"/>
  <c r="M27" i="6"/>
</calcChain>
</file>

<file path=xl/sharedStrings.xml><?xml version="1.0" encoding="utf-8"?>
<sst xmlns="http://schemas.openxmlformats.org/spreadsheetml/2006/main" count="94" uniqueCount="26">
  <si>
    <t>Name</t>
  </si>
  <si>
    <t>Sub1</t>
  </si>
  <si>
    <t>Sub2</t>
  </si>
  <si>
    <t>Sub3</t>
  </si>
  <si>
    <t>Soham</t>
  </si>
  <si>
    <t>Amiya</t>
  </si>
  <si>
    <t>Ajay</t>
  </si>
  <si>
    <t>Nisha</t>
  </si>
  <si>
    <t>Sahil</t>
  </si>
  <si>
    <t>Riya</t>
  </si>
  <si>
    <t>Nilay</t>
  </si>
  <si>
    <t>Amrita</t>
  </si>
  <si>
    <t>Number</t>
  </si>
  <si>
    <t>Date</t>
  </si>
  <si>
    <t>List2</t>
  </si>
  <si>
    <t>List1</t>
  </si>
  <si>
    <t>1st Year Marks</t>
  </si>
  <si>
    <t>2nd Year Marks</t>
  </si>
  <si>
    <t>3rd Year Marks</t>
  </si>
  <si>
    <t>3D SUM</t>
  </si>
  <si>
    <t>1ST YEAR</t>
  </si>
  <si>
    <t>CONSOLIDATE SUM</t>
  </si>
  <si>
    <t>3RD YEAR</t>
  </si>
  <si>
    <t>2ND YEAR</t>
  </si>
  <si>
    <t>Consolidate sum</t>
  </si>
  <si>
    <t>DATA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</si>
</sst>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6" borderId="1" xfId="0" applyFill="1" applyBorder="1" applyAlignment="1">
      <alignment horizontal="center"/>
    </xf>
    <xf numFmtId="0" fontId="0" fillId="0" borderId="0" xfId="0" applyFill="1" applyBorder="1" applyAlignment="1"/>
    <xf numFmtId="0" fontId="0" fillId="7" borderId="1" xfId="0" applyFill="1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99"/>
      <color rgb="FFFF6699"/>
      <color rgb="FFCCECFF"/>
      <color rgb="FFFF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CA14-C5B1-47F7-8AB2-2F4C12953739}">
  <sheetPr>
    <tabColor rgb="FFFFCCFF"/>
  </sheetPr>
  <dimension ref="A1:G22"/>
  <sheetViews>
    <sheetView workbookViewId="0">
      <selection activeCell="D13" sqref="D13:G14"/>
    </sheetView>
  </sheetViews>
  <sheetFormatPr defaultRowHeight="14.4" x14ac:dyDescent="0.3"/>
  <sheetData>
    <row r="1" spans="1:7" x14ac:dyDescent="0.3">
      <c r="A1" s="4" t="s">
        <v>16</v>
      </c>
      <c r="B1" s="4"/>
      <c r="C1" s="4"/>
      <c r="D1" s="4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7" x14ac:dyDescent="0.3">
      <c r="A3" s="3" t="s">
        <v>4</v>
      </c>
      <c r="B3" s="3">
        <v>67</v>
      </c>
      <c r="C3" s="3">
        <v>68</v>
      </c>
      <c r="D3" s="3">
        <v>90</v>
      </c>
    </row>
    <row r="4" spans="1:7" x14ac:dyDescent="0.3">
      <c r="A4" s="3" t="s">
        <v>5</v>
      </c>
      <c r="B4" s="3">
        <v>50</v>
      </c>
      <c r="C4" s="3">
        <v>35</v>
      </c>
      <c r="D4" s="3">
        <v>98</v>
      </c>
    </row>
    <row r="5" spans="1:7" x14ac:dyDescent="0.3">
      <c r="A5" s="3" t="s">
        <v>6</v>
      </c>
      <c r="B5" s="3">
        <v>56</v>
      </c>
      <c r="C5" s="3">
        <v>79</v>
      </c>
      <c r="D5" s="3">
        <v>83</v>
      </c>
    </row>
    <row r="6" spans="1:7" x14ac:dyDescent="0.3">
      <c r="A6" s="3" t="s">
        <v>7</v>
      </c>
      <c r="B6" s="3">
        <v>83</v>
      </c>
      <c r="C6" s="3">
        <v>87</v>
      </c>
      <c r="D6" s="3">
        <v>51</v>
      </c>
    </row>
    <row r="7" spans="1:7" x14ac:dyDescent="0.3">
      <c r="A7" s="3" t="s">
        <v>8</v>
      </c>
      <c r="B7" s="3">
        <v>78</v>
      </c>
      <c r="C7" s="3">
        <v>90</v>
      </c>
      <c r="D7" s="3">
        <v>68</v>
      </c>
    </row>
    <row r="8" spans="1:7" x14ac:dyDescent="0.3">
      <c r="A8" s="3" t="s">
        <v>9</v>
      </c>
      <c r="B8" s="3">
        <v>60</v>
      </c>
      <c r="C8" s="3">
        <v>87</v>
      </c>
      <c r="D8" s="3">
        <v>93</v>
      </c>
    </row>
    <row r="9" spans="1:7" x14ac:dyDescent="0.3">
      <c r="A9" s="3" t="s">
        <v>10</v>
      </c>
      <c r="B9" s="3">
        <v>65</v>
      </c>
      <c r="C9" s="3">
        <v>98</v>
      </c>
      <c r="D9" s="3">
        <v>78</v>
      </c>
    </row>
    <row r="13" spans="1:7" x14ac:dyDescent="0.3">
      <c r="D13" s="9" t="s">
        <v>21</v>
      </c>
      <c r="E13" s="9"/>
      <c r="F13" s="9"/>
      <c r="G13" s="9"/>
    </row>
    <row r="14" spans="1:7" x14ac:dyDescent="0.3">
      <c r="D14" s="1" t="s">
        <v>20</v>
      </c>
      <c r="E14" s="1"/>
      <c r="F14" s="1"/>
      <c r="G14" s="1"/>
    </row>
    <row r="15" spans="1:7" x14ac:dyDescent="0.3">
      <c r="D15" s="2" t="s">
        <v>0</v>
      </c>
      <c r="E15" s="2" t="s">
        <v>1</v>
      </c>
      <c r="F15" s="2" t="s">
        <v>2</v>
      </c>
      <c r="G15" s="2" t="s">
        <v>3</v>
      </c>
    </row>
    <row r="16" spans="1:7" x14ac:dyDescent="0.3">
      <c r="D16" s="3" t="s">
        <v>4</v>
      </c>
      <c r="E16" s="3">
        <v>67</v>
      </c>
      <c r="F16" s="3">
        <v>68</v>
      </c>
      <c r="G16" s="3">
        <v>90</v>
      </c>
    </row>
    <row r="17" spans="4:7" x14ac:dyDescent="0.3">
      <c r="D17" s="3" t="s">
        <v>5</v>
      </c>
      <c r="E17" s="3">
        <v>51</v>
      </c>
      <c r="F17" s="3">
        <v>35</v>
      </c>
      <c r="G17" s="3">
        <v>98</v>
      </c>
    </row>
    <row r="18" spans="4:7" x14ac:dyDescent="0.3">
      <c r="D18" s="3" t="s">
        <v>6</v>
      </c>
      <c r="E18" s="3">
        <v>56</v>
      </c>
      <c r="F18" s="3">
        <v>79</v>
      </c>
      <c r="G18" s="3">
        <v>83</v>
      </c>
    </row>
    <row r="19" spans="4:7" x14ac:dyDescent="0.3">
      <c r="D19" s="3" t="s">
        <v>7</v>
      </c>
      <c r="E19" s="3">
        <v>83</v>
      </c>
      <c r="F19" s="3">
        <v>87</v>
      </c>
      <c r="G19" s="3">
        <v>51</v>
      </c>
    </row>
    <row r="20" spans="4:7" x14ac:dyDescent="0.3">
      <c r="D20" s="3" t="s">
        <v>8</v>
      </c>
      <c r="E20" s="3">
        <v>78</v>
      </c>
      <c r="F20" s="3">
        <v>90</v>
      </c>
      <c r="G20" s="3">
        <v>68</v>
      </c>
    </row>
    <row r="21" spans="4:7" x14ac:dyDescent="0.3">
      <c r="D21" s="3" t="s">
        <v>9</v>
      </c>
      <c r="E21" s="3">
        <v>60</v>
      </c>
      <c r="F21" s="3">
        <v>87</v>
      </c>
      <c r="G21" s="3">
        <v>93</v>
      </c>
    </row>
    <row r="22" spans="4:7" x14ac:dyDescent="0.3">
      <c r="D22" s="3" t="s">
        <v>10</v>
      </c>
      <c r="E22" s="3">
        <v>65</v>
      </c>
      <c r="F22" s="3">
        <v>98</v>
      </c>
      <c r="G22" s="3">
        <v>78</v>
      </c>
    </row>
  </sheetData>
  <mergeCells count="3">
    <mergeCell ref="A1:D1"/>
    <mergeCell ref="D13:G13"/>
    <mergeCell ref="D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14E0B-2DE7-44B6-9CD3-58C7A9DFAD9B}">
  <sheetPr>
    <tabColor rgb="FFCCECFF"/>
  </sheetPr>
  <dimension ref="A1:J13"/>
  <sheetViews>
    <sheetView workbookViewId="0">
      <selection activeCell="G4" sqref="G4:J13"/>
    </sheetView>
  </sheetViews>
  <sheetFormatPr defaultRowHeight="14.4" x14ac:dyDescent="0.3"/>
  <sheetData>
    <row r="1" spans="1:10" x14ac:dyDescent="0.3">
      <c r="A1" s="5" t="s">
        <v>17</v>
      </c>
      <c r="B1" s="5"/>
      <c r="C1" s="5"/>
      <c r="D1" s="5"/>
    </row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10" x14ac:dyDescent="0.3">
      <c r="A3" s="3" t="s">
        <v>4</v>
      </c>
      <c r="B3" s="3">
        <v>67</v>
      </c>
      <c r="C3" s="3">
        <v>68</v>
      </c>
      <c r="D3" s="3">
        <v>90</v>
      </c>
    </row>
    <row r="4" spans="1:10" x14ac:dyDescent="0.3">
      <c r="A4" s="3" t="s">
        <v>5</v>
      </c>
      <c r="B4" s="3">
        <v>50</v>
      </c>
      <c r="C4" s="3">
        <v>35</v>
      </c>
      <c r="D4" s="3">
        <v>98</v>
      </c>
      <c r="G4" s="9" t="s">
        <v>21</v>
      </c>
      <c r="H4" s="9"/>
      <c r="I4" s="9"/>
      <c r="J4" s="9"/>
    </row>
    <row r="5" spans="1:10" x14ac:dyDescent="0.3">
      <c r="A5" s="3" t="s">
        <v>6</v>
      </c>
      <c r="B5" s="3">
        <v>56</v>
      </c>
      <c r="C5" s="3">
        <v>79</v>
      </c>
      <c r="D5" s="3">
        <v>83</v>
      </c>
      <c r="G5" s="1" t="s">
        <v>23</v>
      </c>
      <c r="H5" s="1"/>
      <c r="I5" s="1"/>
      <c r="J5" s="1"/>
    </row>
    <row r="6" spans="1:10" x14ac:dyDescent="0.3">
      <c r="A6" s="3" t="s">
        <v>7</v>
      </c>
      <c r="B6" s="3">
        <v>83</v>
      </c>
      <c r="C6" s="3">
        <v>87</v>
      </c>
      <c r="D6" s="3">
        <v>51</v>
      </c>
      <c r="G6" s="2" t="s">
        <v>0</v>
      </c>
      <c r="H6" s="2" t="s">
        <v>1</v>
      </c>
      <c r="I6" s="2" t="s">
        <v>2</v>
      </c>
      <c r="J6" s="2" t="s">
        <v>3</v>
      </c>
    </row>
    <row r="7" spans="1:10" x14ac:dyDescent="0.3">
      <c r="A7" s="3" t="s">
        <v>8</v>
      </c>
      <c r="B7" s="3">
        <v>78</v>
      </c>
      <c r="C7" s="3">
        <v>90</v>
      </c>
      <c r="D7" s="3">
        <v>68</v>
      </c>
      <c r="G7" s="3" t="s">
        <v>4</v>
      </c>
      <c r="H7" s="3">
        <v>67</v>
      </c>
      <c r="I7" s="3">
        <v>68</v>
      </c>
      <c r="J7" s="3">
        <v>90</v>
      </c>
    </row>
    <row r="8" spans="1:10" x14ac:dyDescent="0.3">
      <c r="A8" s="3" t="s">
        <v>9</v>
      </c>
      <c r="B8" s="3">
        <v>60</v>
      </c>
      <c r="C8" s="3">
        <v>87</v>
      </c>
      <c r="D8" s="3">
        <v>93</v>
      </c>
      <c r="G8" s="3" t="s">
        <v>5</v>
      </c>
      <c r="H8" s="3">
        <v>50</v>
      </c>
      <c r="I8" s="3">
        <v>35</v>
      </c>
      <c r="J8" s="3">
        <v>98</v>
      </c>
    </row>
    <row r="9" spans="1:10" x14ac:dyDescent="0.3">
      <c r="A9" s="3" t="s">
        <v>10</v>
      </c>
      <c r="B9" s="3">
        <v>65</v>
      </c>
      <c r="C9" s="3">
        <v>98</v>
      </c>
      <c r="D9" s="3">
        <v>78</v>
      </c>
      <c r="G9" s="3" t="s">
        <v>6</v>
      </c>
      <c r="H9" s="3">
        <v>56</v>
      </c>
      <c r="I9" s="3">
        <v>79</v>
      </c>
      <c r="J9" s="3">
        <v>83</v>
      </c>
    </row>
    <row r="10" spans="1:10" x14ac:dyDescent="0.3">
      <c r="G10" s="3" t="s">
        <v>7</v>
      </c>
      <c r="H10" s="3">
        <v>83</v>
      </c>
      <c r="I10" s="3">
        <v>87</v>
      </c>
      <c r="J10" s="3">
        <v>51</v>
      </c>
    </row>
    <row r="11" spans="1:10" x14ac:dyDescent="0.3">
      <c r="G11" s="3" t="s">
        <v>8</v>
      </c>
      <c r="H11" s="3">
        <v>78</v>
      </c>
      <c r="I11" s="3">
        <v>90</v>
      </c>
      <c r="J11" s="3">
        <v>68</v>
      </c>
    </row>
    <row r="12" spans="1:10" x14ac:dyDescent="0.3">
      <c r="G12" s="3" t="s">
        <v>9</v>
      </c>
      <c r="H12" s="3">
        <v>60</v>
      </c>
      <c r="I12" s="3">
        <v>87</v>
      </c>
      <c r="J12" s="3">
        <v>93</v>
      </c>
    </row>
    <row r="13" spans="1:10" x14ac:dyDescent="0.3">
      <c r="G13" s="3" t="s">
        <v>10</v>
      </c>
      <c r="H13" s="3">
        <v>65</v>
      </c>
      <c r="I13" s="3">
        <v>98</v>
      </c>
      <c r="J13" s="3">
        <v>78</v>
      </c>
    </row>
  </sheetData>
  <mergeCells count="3">
    <mergeCell ref="A1:D1"/>
    <mergeCell ref="G4:J4"/>
    <mergeCell ref="G5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0FEE-43A3-4AFD-820D-4989669F0645}">
  <sheetPr>
    <tabColor rgb="FFCCFFCC"/>
  </sheetPr>
  <dimension ref="A1:D20"/>
  <sheetViews>
    <sheetView workbookViewId="0">
      <selection activeCell="B15" sqref="B15"/>
    </sheetView>
  </sheetViews>
  <sheetFormatPr defaultRowHeight="14.4" x14ac:dyDescent="0.3"/>
  <sheetData>
    <row r="1" spans="1:4" x14ac:dyDescent="0.3">
      <c r="A1" s="6" t="s">
        <v>18</v>
      </c>
      <c r="B1" s="6"/>
      <c r="C1" s="6"/>
      <c r="D1" s="6"/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3" t="s">
        <v>4</v>
      </c>
      <c r="B3" s="3">
        <v>67</v>
      </c>
      <c r="C3" s="3">
        <v>68</v>
      </c>
      <c r="D3" s="3">
        <v>90</v>
      </c>
    </row>
    <row r="4" spans="1:4" x14ac:dyDescent="0.3">
      <c r="A4" s="3" t="s">
        <v>5</v>
      </c>
      <c r="B4" s="3">
        <v>50</v>
      </c>
      <c r="C4" s="3">
        <v>35</v>
      </c>
      <c r="D4" s="3">
        <v>98</v>
      </c>
    </row>
    <row r="5" spans="1:4" x14ac:dyDescent="0.3">
      <c r="A5" s="3" t="s">
        <v>6</v>
      </c>
      <c r="B5" s="3">
        <v>56</v>
      </c>
      <c r="C5" s="3">
        <v>79</v>
      </c>
      <c r="D5" s="3">
        <v>83</v>
      </c>
    </row>
    <row r="6" spans="1:4" x14ac:dyDescent="0.3">
      <c r="A6" s="3" t="s">
        <v>7</v>
      </c>
      <c r="B6" s="3">
        <v>83</v>
      </c>
      <c r="C6" s="3">
        <v>87</v>
      </c>
      <c r="D6" s="3">
        <v>51</v>
      </c>
    </row>
    <row r="7" spans="1:4" x14ac:dyDescent="0.3">
      <c r="A7" s="3" t="s">
        <v>8</v>
      </c>
      <c r="B7" s="3">
        <v>78</v>
      </c>
      <c r="C7" s="3">
        <v>90</v>
      </c>
      <c r="D7" s="3">
        <v>68</v>
      </c>
    </row>
    <row r="8" spans="1:4" x14ac:dyDescent="0.3">
      <c r="A8" s="3" t="s">
        <v>9</v>
      </c>
      <c r="B8" s="3">
        <v>60</v>
      </c>
      <c r="C8" s="3">
        <v>87</v>
      </c>
      <c r="D8" s="3">
        <v>93</v>
      </c>
    </row>
    <row r="9" spans="1:4" x14ac:dyDescent="0.3">
      <c r="A9" s="3" t="s">
        <v>10</v>
      </c>
      <c r="B9" s="3">
        <v>65</v>
      </c>
      <c r="C9" s="3">
        <v>98</v>
      </c>
      <c r="D9" s="3">
        <v>78</v>
      </c>
    </row>
    <row r="11" spans="1:4" x14ac:dyDescent="0.3">
      <c r="A11" s="9" t="s">
        <v>21</v>
      </c>
      <c r="B11" s="9"/>
      <c r="C11" s="9"/>
      <c r="D11" s="9"/>
    </row>
    <row r="12" spans="1:4" x14ac:dyDescent="0.3">
      <c r="A12" s="1" t="s">
        <v>22</v>
      </c>
      <c r="B12" s="1"/>
      <c r="C12" s="1"/>
      <c r="D12" s="1"/>
    </row>
    <row r="13" spans="1:4" x14ac:dyDescent="0.3">
      <c r="A13" s="2" t="s">
        <v>0</v>
      </c>
      <c r="B13" s="2" t="s">
        <v>1</v>
      </c>
      <c r="C13" s="2" t="s">
        <v>2</v>
      </c>
      <c r="D13" s="2" t="s">
        <v>3</v>
      </c>
    </row>
    <row r="14" spans="1:4" x14ac:dyDescent="0.3">
      <c r="A14" s="3" t="s">
        <v>4</v>
      </c>
      <c r="B14" s="3">
        <v>727</v>
      </c>
      <c r="C14" s="3">
        <v>68</v>
      </c>
      <c r="D14" s="3">
        <v>90</v>
      </c>
    </row>
    <row r="15" spans="1:4" x14ac:dyDescent="0.3">
      <c r="A15" s="3" t="s">
        <v>5</v>
      </c>
      <c r="B15" s="3">
        <v>50</v>
      </c>
      <c r="C15" s="3">
        <v>35</v>
      </c>
      <c r="D15" s="3">
        <v>98</v>
      </c>
    </row>
    <row r="16" spans="1:4" x14ac:dyDescent="0.3">
      <c r="A16" s="3" t="s">
        <v>6</v>
      </c>
      <c r="B16" s="3">
        <v>56</v>
      </c>
      <c r="C16" s="3">
        <v>79</v>
      </c>
      <c r="D16" s="3">
        <v>83</v>
      </c>
    </row>
    <row r="17" spans="1:4" x14ac:dyDescent="0.3">
      <c r="A17" s="3" t="s">
        <v>7</v>
      </c>
      <c r="B17" s="3">
        <v>83</v>
      </c>
      <c r="C17" s="3">
        <v>817</v>
      </c>
      <c r="D17" s="3">
        <v>51</v>
      </c>
    </row>
    <row r="18" spans="1:4" x14ac:dyDescent="0.3">
      <c r="A18" s="3" t="s">
        <v>8</v>
      </c>
      <c r="B18" s="3">
        <v>78</v>
      </c>
      <c r="C18" s="3">
        <v>90</v>
      </c>
      <c r="D18" s="3">
        <v>68</v>
      </c>
    </row>
    <row r="19" spans="1:4" x14ac:dyDescent="0.3">
      <c r="A19" s="3" t="s">
        <v>9</v>
      </c>
      <c r="B19" s="3">
        <v>60</v>
      </c>
      <c r="C19" s="3">
        <v>87</v>
      </c>
      <c r="D19" s="3">
        <v>93</v>
      </c>
    </row>
    <row r="20" spans="1:4" x14ac:dyDescent="0.3">
      <c r="A20" s="3" t="s">
        <v>10</v>
      </c>
      <c r="B20" s="3">
        <v>65</v>
      </c>
      <c r="C20" s="3">
        <v>98</v>
      </c>
      <c r="D20" s="3">
        <v>78</v>
      </c>
    </row>
  </sheetData>
  <mergeCells count="3">
    <mergeCell ref="A1:D1"/>
    <mergeCell ref="A11:D11"/>
    <mergeCell ref="A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B866-615D-464E-B9BB-2E301779781F}">
  <sheetPr>
    <tabColor rgb="FFFF6699"/>
  </sheetPr>
  <dimension ref="A1:P39"/>
  <sheetViews>
    <sheetView workbookViewId="0">
      <selection activeCell="T7" sqref="T7"/>
    </sheetView>
  </sheetViews>
  <sheetFormatPr defaultRowHeight="14.4" outlineLevelRow="1" x14ac:dyDescent="0.3"/>
  <cols>
    <col min="7" max="7" width="7" customWidth="1"/>
    <col min="8" max="8" width="6.6640625" customWidth="1"/>
  </cols>
  <sheetData>
    <row r="1" spans="1:16" x14ac:dyDescent="0.3">
      <c r="A1" s="7" t="s">
        <v>19</v>
      </c>
      <c r="B1" s="7"/>
      <c r="C1" s="7"/>
      <c r="D1" s="7"/>
      <c r="E1" s="7"/>
      <c r="F1" s="7"/>
    </row>
    <row r="3" spans="1:16" x14ac:dyDescent="0.3">
      <c r="B3" s="8">
        <f>SUM('3rdYear'!B3)</f>
        <v>67</v>
      </c>
      <c r="C3" s="8">
        <f>SUM('3rdYear'!C3)</f>
        <v>68</v>
      </c>
      <c r="D3" s="8">
        <f>SUM('3rdYear'!D3)</f>
        <v>90</v>
      </c>
    </row>
    <row r="4" spans="1:16" x14ac:dyDescent="0.3">
      <c r="B4" s="8">
        <f>SUM('3rdYear'!B4)</f>
        <v>50</v>
      </c>
      <c r="C4" s="8">
        <f>SUM('3rdYear'!C4)</f>
        <v>35</v>
      </c>
      <c r="D4" s="8">
        <f>SUM('3rdYear'!D4)</f>
        <v>98</v>
      </c>
    </row>
    <row r="5" spans="1:16" x14ac:dyDescent="0.3">
      <c r="B5" s="8">
        <f>SUM('3rdYear'!B5)</f>
        <v>56</v>
      </c>
      <c r="C5" s="8">
        <f>SUM('3rdYear'!C5)</f>
        <v>79</v>
      </c>
      <c r="D5" s="8">
        <f>SUM('3rdYear'!D5)</f>
        <v>83</v>
      </c>
    </row>
    <row r="6" spans="1:16" x14ac:dyDescent="0.3">
      <c r="B6" s="8">
        <f>SUM('3rdYear'!B6)</f>
        <v>83</v>
      </c>
      <c r="C6" s="8">
        <f>SUM('3rdYear'!C6)</f>
        <v>87</v>
      </c>
      <c r="D6" s="8">
        <f>SUM('3rdYear'!D6)</f>
        <v>51</v>
      </c>
    </row>
    <row r="7" spans="1:16" x14ac:dyDescent="0.3">
      <c r="B7" s="8">
        <f>SUM('3rdYear'!B7)</f>
        <v>78</v>
      </c>
      <c r="C7" s="8">
        <f>SUM('3rdYear'!C7)</f>
        <v>90</v>
      </c>
      <c r="D7" s="8">
        <f>SUM('3rdYear'!D7)</f>
        <v>68</v>
      </c>
    </row>
    <row r="8" spans="1:16" x14ac:dyDescent="0.3">
      <c r="B8" s="8">
        <f>SUM('3rdYear'!B8)</f>
        <v>60</v>
      </c>
      <c r="C8" s="8">
        <f>SUM('3rdYear'!C8)</f>
        <v>87</v>
      </c>
      <c r="D8" s="8">
        <f>SUM('3rdYear'!D8)</f>
        <v>93</v>
      </c>
    </row>
    <row r="9" spans="1:16" x14ac:dyDescent="0.3">
      <c r="B9" s="8">
        <f>SUM('3rdYear'!B9)</f>
        <v>65</v>
      </c>
      <c r="C9" s="8">
        <f>SUM('3rdYear'!C9)</f>
        <v>98</v>
      </c>
      <c r="D9" s="8">
        <f>SUM('3rdYear'!D9)</f>
        <v>78</v>
      </c>
    </row>
    <row r="10" spans="1:16" x14ac:dyDescent="0.3">
      <c r="L10" s="9" t="s">
        <v>24</v>
      </c>
      <c r="M10" s="9"/>
      <c r="N10" s="9"/>
      <c r="O10" s="9"/>
      <c r="P10" s="10"/>
    </row>
    <row r="11" spans="1:16" x14ac:dyDescent="0.3">
      <c r="L11" s="8"/>
      <c r="M11" s="8" t="s">
        <v>1</v>
      </c>
      <c r="N11" s="8" t="s">
        <v>2</v>
      </c>
      <c r="O11" s="8" t="s">
        <v>3</v>
      </c>
    </row>
    <row r="12" spans="1:16" hidden="1" outlineLevel="1" x14ac:dyDescent="0.3">
      <c r="L12" s="8"/>
      <c r="M12" s="8">
        <f>'1stYear'!$E$16</f>
        <v>67</v>
      </c>
      <c r="N12" s="8">
        <f>'1stYear'!$F$16</f>
        <v>68</v>
      </c>
      <c r="O12" s="8">
        <f>'1stYear'!$G$16</f>
        <v>90</v>
      </c>
    </row>
    <row r="13" spans="1:16" hidden="1" outlineLevel="1" collapsed="1" x14ac:dyDescent="0.3">
      <c r="L13" s="8"/>
      <c r="M13" s="8">
        <f>'2ndYear'!$H$7</f>
        <v>67</v>
      </c>
      <c r="N13" s="8">
        <f>'2ndYear'!$I$7</f>
        <v>68</v>
      </c>
      <c r="O13" s="8">
        <f>'2ndYear'!$J$7</f>
        <v>90</v>
      </c>
    </row>
    <row r="14" spans="1:16" hidden="1" outlineLevel="1" collapsed="1" x14ac:dyDescent="0.3">
      <c r="L14" s="8"/>
      <c r="M14" s="8">
        <f>'3rdYear'!$B$14</f>
        <v>727</v>
      </c>
      <c r="N14" s="8">
        <f>'3rdYear'!$C$14</f>
        <v>68</v>
      </c>
      <c r="O14" s="8">
        <f>'3rdYear'!$D$14</f>
        <v>90</v>
      </c>
    </row>
    <row r="15" spans="1:16" collapsed="1" x14ac:dyDescent="0.3">
      <c r="L15" s="8" t="s">
        <v>4</v>
      </c>
      <c r="M15" s="8">
        <f>SUM(M12:M14)</f>
        <v>861</v>
      </c>
      <c r="N15" s="8">
        <f>SUM(N12:N14)</f>
        <v>204</v>
      </c>
      <c r="O15" s="8">
        <f>SUM(O12:O14)</f>
        <v>270</v>
      </c>
    </row>
    <row r="16" spans="1:16" hidden="1" outlineLevel="1" x14ac:dyDescent="0.3">
      <c r="L16" s="8"/>
      <c r="M16" s="8">
        <f>'1stYear'!$E$17</f>
        <v>51</v>
      </c>
      <c r="N16" s="8">
        <f>'1stYear'!$F$17</f>
        <v>35</v>
      </c>
      <c r="O16" s="8">
        <f>'1stYear'!$G$17</f>
        <v>98</v>
      </c>
    </row>
    <row r="17" spans="12:15" hidden="1" outlineLevel="1" collapsed="1" x14ac:dyDescent="0.3">
      <c r="L17" s="8"/>
      <c r="M17" s="8">
        <f>'2ndYear'!$H$8</f>
        <v>50</v>
      </c>
      <c r="N17" s="8">
        <f>'2ndYear'!$I$8</f>
        <v>35</v>
      </c>
      <c r="O17" s="8">
        <f>'2ndYear'!$J$8</f>
        <v>98</v>
      </c>
    </row>
    <row r="18" spans="12:15" hidden="1" outlineLevel="1" collapsed="1" x14ac:dyDescent="0.3">
      <c r="L18" s="8"/>
      <c r="M18" s="8">
        <f>'3rdYear'!$B$15</f>
        <v>50</v>
      </c>
      <c r="N18" s="8">
        <f>'3rdYear'!$C$15</f>
        <v>35</v>
      </c>
      <c r="O18" s="8">
        <f>'3rdYear'!$D$15</f>
        <v>98</v>
      </c>
    </row>
    <row r="19" spans="12:15" collapsed="1" x14ac:dyDescent="0.3">
      <c r="L19" s="8" t="s">
        <v>5</v>
      </c>
      <c r="M19" s="8">
        <f>SUM(M16:M18)</f>
        <v>151</v>
      </c>
      <c r="N19" s="8">
        <f>SUM(N16:N18)</f>
        <v>105</v>
      </c>
      <c r="O19" s="8">
        <f>SUM(O16:O18)</f>
        <v>294</v>
      </c>
    </row>
    <row r="20" spans="12:15" hidden="1" outlineLevel="1" x14ac:dyDescent="0.3">
      <c r="L20" s="8"/>
      <c r="M20" s="8">
        <f>'1stYear'!$E$18</f>
        <v>56</v>
      </c>
      <c r="N20" s="8">
        <f>'1stYear'!$F$18</f>
        <v>79</v>
      </c>
      <c r="O20" s="8">
        <f>'1stYear'!$G$18</f>
        <v>83</v>
      </c>
    </row>
    <row r="21" spans="12:15" hidden="1" outlineLevel="1" collapsed="1" x14ac:dyDescent="0.3">
      <c r="L21" s="8"/>
      <c r="M21" s="8">
        <f>'2ndYear'!$H$9</f>
        <v>56</v>
      </c>
      <c r="N21" s="8">
        <f>'2ndYear'!$I$9</f>
        <v>79</v>
      </c>
      <c r="O21" s="8">
        <f>'2ndYear'!$J$9</f>
        <v>83</v>
      </c>
    </row>
    <row r="22" spans="12:15" hidden="1" outlineLevel="1" collapsed="1" x14ac:dyDescent="0.3">
      <c r="L22" s="8"/>
      <c r="M22" s="8">
        <f>'3rdYear'!$B$16</f>
        <v>56</v>
      </c>
      <c r="N22" s="8">
        <f>'3rdYear'!$C$16</f>
        <v>79</v>
      </c>
      <c r="O22" s="8">
        <f>'3rdYear'!$D$16</f>
        <v>83</v>
      </c>
    </row>
    <row r="23" spans="12:15" collapsed="1" x14ac:dyDescent="0.3">
      <c r="L23" s="8" t="s">
        <v>6</v>
      </c>
      <c r="M23" s="8">
        <f>SUM(M20:M22)</f>
        <v>168</v>
      </c>
      <c r="N23" s="8">
        <f>SUM(N20:N22)</f>
        <v>237</v>
      </c>
      <c r="O23" s="8">
        <f>SUM(O20:O22)</f>
        <v>249</v>
      </c>
    </row>
    <row r="24" spans="12:15" hidden="1" outlineLevel="1" x14ac:dyDescent="0.3">
      <c r="L24" s="8"/>
      <c r="M24" s="8">
        <f>'1stYear'!$E$19</f>
        <v>83</v>
      </c>
      <c r="N24" s="8">
        <f>'1stYear'!$F$19</f>
        <v>87</v>
      </c>
      <c r="O24" s="8">
        <f>'1stYear'!$G$19</f>
        <v>51</v>
      </c>
    </row>
    <row r="25" spans="12:15" hidden="1" outlineLevel="1" collapsed="1" x14ac:dyDescent="0.3">
      <c r="L25" s="8"/>
      <c r="M25" s="8">
        <f>'2ndYear'!$H$10</f>
        <v>83</v>
      </c>
      <c r="N25" s="8">
        <f>'2ndYear'!$I$10</f>
        <v>87</v>
      </c>
      <c r="O25" s="8">
        <f>'2ndYear'!$J$10</f>
        <v>51</v>
      </c>
    </row>
    <row r="26" spans="12:15" hidden="1" outlineLevel="1" collapsed="1" x14ac:dyDescent="0.3">
      <c r="L26" s="8"/>
      <c r="M26" s="8">
        <f>'3rdYear'!$B$17</f>
        <v>83</v>
      </c>
      <c r="N26" s="8">
        <f>'3rdYear'!$C$17</f>
        <v>817</v>
      </c>
      <c r="O26" s="8">
        <f>'3rdYear'!$D$17</f>
        <v>51</v>
      </c>
    </row>
    <row r="27" spans="12:15" collapsed="1" x14ac:dyDescent="0.3">
      <c r="L27" s="8" t="s">
        <v>7</v>
      </c>
      <c r="M27" s="8">
        <f>SUM(M24:M26)</f>
        <v>249</v>
      </c>
      <c r="N27" s="8">
        <f>SUM(N24:N26)</f>
        <v>991</v>
      </c>
      <c r="O27" s="8">
        <f>SUM(O24:O26)</f>
        <v>153</v>
      </c>
    </row>
    <row r="28" spans="12:15" hidden="1" outlineLevel="1" x14ac:dyDescent="0.3">
      <c r="L28" s="8"/>
      <c r="M28" s="8">
        <f>'1stYear'!$E$20</f>
        <v>78</v>
      </c>
      <c r="N28" s="8">
        <f>'1stYear'!$F$20</f>
        <v>90</v>
      </c>
      <c r="O28" s="8">
        <f>'1stYear'!$G$20</f>
        <v>68</v>
      </c>
    </row>
    <row r="29" spans="12:15" hidden="1" outlineLevel="1" collapsed="1" x14ac:dyDescent="0.3">
      <c r="L29" s="8"/>
      <c r="M29" s="8">
        <f>'2ndYear'!$H$11</f>
        <v>78</v>
      </c>
      <c r="N29" s="8">
        <f>'2ndYear'!$I$11</f>
        <v>90</v>
      </c>
      <c r="O29" s="8">
        <f>'2ndYear'!$J$11</f>
        <v>68</v>
      </c>
    </row>
    <row r="30" spans="12:15" hidden="1" outlineLevel="1" collapsed="1" x14ac:dyDescent="0.3">
      <c r="L30" s="8"/>
      <c r="M30" s="8">
        <f>'3rdYear'!$B$18</f>
        <v>78</v>
      </c>
      <c r="N30" s="8">
        <f>'3rdYear'!$C$18</f>
        <v>90</v>
      </c>
      <c r="O30" s="8">
        <f>'3rdYear'!$D$18</f>
        <v>68</v>
      </c>
    </row>
    <row r="31" spans="12:15" collapsed="1" x14ac:dyDescent="0.3">
      <c r="L31" s="8" t="s">
        <v>8</v>
      </c>
      <c r="M31" s="8">
        <f>SUM(M28:M30)</f>
        <v>234</v>
      </c>
      <c r="N31" s="8">
        <f>SUM(N28:N30)</f>
        <v>270</v>
      </c>
      <c r="O31" s="8">
        <f>SUM(O28:O30)</f>
        <v>204</v>
      </c>
    </row>
    <row r="32" spans="12:15" hidden="1" outlineLevel="1" x14ac:dyDescent="0.3">
      <c r="L32" s="8"/>
      <c r="M32" s="8">
        <f>'1stYear'!$E$21</f>
        <v>60</v>
      </c>
      <c r="N32" s="8">
        <f>'1stYear'!$F$21</f>
        <v>87</v>
      </c>
      <c r="O32" s="8">
        <f>'1stYear'!$G$21</f>
        <v>93</v>
      </c>
    </row>
    <row r="33" spans="12:15" hidden="1" outlineLevel="1" collapsed="1" x14ac:dyDescent="0.3">
      <c r="L33" s="8"/>
      <c r="M33" s="8">
        <f>'2ndYear'!$H$12</f>
        <v>60</v>
      </c>
      <c r="N33" s="8">
        <f>'2ndYear'!$I$12</f>
        <v>87</v>
      </c>
      <c r="O33" s="8">
        <f>'2ndYear'!$J$12</f>
        <v>93</v>
      </c>
    </row>
    <row r="34" spans="12:15" hidden="1" outlineLevel="1" collapsed="1" x14ac:dyDescent="0.3">
      <c r="L34" s="8"/>
      <c r="M34" s="8">
        <f>'3rdYear'!$B$19</f>
        <v>60</v>
      </c>
      <c r="N34" s="8">
        <f>'3rdYear'!$C$19</f>
        <v>87</v>
      </c>
      <c r="O34" s="8">
        <f>'3rdYear'!$D$19</f>
        <v>93</v>
      </c>
    </row>
    <row r="35" spans="12:15" collapsed="1" x14ac:dyDescent="0.3">
      <c r="L35" s="8" t="s">
        <v>9</v>
      </c>
      <c r="M35" s="8">
        <f>SUM(M32:M34)</f>
        <v>180</v>
      </c>
      <c r="N35" s="8">
        <f>SUM(N32:N34)</f>
        <v>261</v>
      </c>
      <c r="O35" s="8">
        <f>SUM(O32:O34)</f>
        <v>279</v>
      </c>
    </row>
    <row r="36" spans="12:15" hidden="1" outlineLevel="1" x14ac:dyDescent="0.3">
      <c r="L36" s="8"/>
      <c r="M36" s="8">
        <f>'1stYear'!$E$22</f>
        <v>65</v>
      </c>
      <c r="N36" s="8">
        <f>'1stYear'!$F$22</f>
        <v>98</v>
      </c>
      <c r="O36" s="8">
        <f>'1stYear'!$G$22</f>
        <v>78</v>
      </c>
    </row>
    <row r="37" spans="12:15" hidden="1" outlineLevel="1" collapsed="1" x14ac:dyDescent="0.3">
      <c r="L37" s="8"/>
      <c r="M37" s="8">
        <f>'2ndYear'!$H$13</f>
        <v>65</v>
      </c>
      <c r="N37" s="8">
        <f>'2ndYear'!$I$13</f>
        <v>98</v>
      </c>
      <c r="O37" s="8">
        <f>'2ndYear'!$J$13</f>
        <v>78</v>
      </c>
    </row>
    <row r="38" spans="12:15" hidden="1" outlineLevel="1" collapsed="1" x14ac:dyDescent="0.3">
      <c r="L38" s="8"/>
      <c r="M38" s="8">
        <f>'3rdYear'!$B$20</f>
        <v>65</v>
      </c>
      <c r="N38" s="8">
        <f>'3rdYear'!$C$20</f>
        <v>98</v>
      </c>
      <c r="O38" s="8">
        <f>'3rdYear'!$D$20</f>
        <v>78</v>
      </c>
    </row>
    <row r="39" spans="12:15" collapsed="1" x14ac:dyDescent="0.3">
      <c r="L39" s="8" t="s">
        <v>10</v>
      </c>
      <c r="M39" s="8">
        <f>SUM(M36:M38)</f>
        <v>195</v>
      </c>
      <c r="N39" s="8">
        <f>SUM(N36:N38)</f>
        <v>294</v>
      </c>
      <c r="O39" s="8">
        <f>SUM(O36:O38)</f>
        <v>234</v>
      </c>
    </row>
  </sheetData>
  <dataConsolidate leftLabels="1" topLabels="1" link="1">
    <dataRefs count="3">
      <dataRef ref="D15:G22" sheet="1stYear"/>
      <dataRef ref="G6:J13" sheet="2ndYear"/>
      <dataRef ref="A13:D20" sheet="3rdYear"/>
    </dataRefs>
  </dataConsolidate>
  <mergeCells count="2">
    <mergeCell ref="A1:F1"/>
    <mergeCell ref="L10:O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B9BD-386D-484F-BF7C-98281B89EA7A}">
  <sheetPr>
    <tabColor theme="7" tint="0.39997558519241921"/>
  </sheetPr>
  <dimension ref="A1:E3"/>
  <sheetViews>
    <sheetView tabSelected="1" workbookViewId="0">
      <selection activeCell="F7" sqref="F7"/>
    </sheetView>
  </sheetViews>
  <sheetFormatPr defaultRowHeight="14.4" x14ac:dyDescent="0.3"/>
  <cols>
    <col min="3" max="3" width="10.33203125" bestFit="1" customWidth="1"/>
  </cols>
  <sheetData>
    <row r="1" spans="1:5" x14ac:dyDescent="0.3">
      <c r="A1" s="11" t="s">
        <v>25</v>
      </c>
      <c r="B1" s="11"/>
      <c r="C1" s="11"/>
      <c r="D1" s="11"/>
      <c r="E1" s="11"/>
    </row>
    <row r="2" spans="1:5" x14ac:dyDescent="0.3">
      <c r="A2" s="8" t="s">
        <v>0</v>
      </c>
      <c r="B2" s="8" t="s">
        <v>12</v>
      </c>
      <c r="C2" s="8" t="s">
        <v>13</v>
      </c>
      <c r="D2" s="8" t="s">
        <v>15</v>
      </c>
      <c r="E2" s="8" t="s">
        <v>14</v>
      </c>
    </row>
    <row r="3" spans="1:5" x14ac:dyDescent="0.3">
      <c r="A3" s="8" t="s">
        <v>11</v>
      </c>
      <c r="B3" s="8">
        <v>15</v>
      </c>
      <c r="C3" s="12">
        <v>45992</v>
      </c>
      <c r="D3" s="8"/>
      <c r="E3" s="8"/>
    </row>
  </sheetData>
  <dataConsolidate/>
  <mergeCells count="1">
    <mergeCell ref="A1:E1"/>
  </mergeCells>
  <dataValidations count="3">
    <dataValidation type="textLength" allowBlank="1" showInputMessage="1" showErrorMessage="1" sqref="A3:A14" xr:uid="{D72ECFBB-CB50-4ECE-A89A-5F1D25605CC2}">
      <formula1>3</formula1>
      <formula2>10</formula2>
    </dataValidation>
    <dataValidation type="whole" allowBlank="1" showInputMessage="1" showErrorMessage="1" sqref="B3" xr:uid="{BF1B8615-8D48-4497-97BD-F4A0AEE082B0}">
      <formula1>10</formula1>
      <formula2>100</formula2>
    </dataValidation>
    <dataValidation type="date" allowBlank="1" showInputMessage="1" showErrorMessage="1" sqref="C3" xr:uid="{0EFB1504-CABE-4F06-85A8-C3E9D32A70D2}">
      <formula1>36892</formula1>
      <formula2>47848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1stYear</vt:lpstr>
      <vt:lpstr>2ndYear</vt:lpstr>
      <vt:lpstr>3rdYear</vt:lpstr>
      <vt:lpstr>TOTAL</vt:lpstr>
      <vt:lpstr>DATA_VALIDATION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amrita majumdar</dc:creator>
  <cp:lastModifiedBy>amrita majumdar</cp:lastModifiedBy>
  <dcterms:created xsi:type="dcterms:W3CDTF">2026-03-05T07:47:29Z</dcterms:created>
  <dcterms:modified xsi:type="dcterms:W3CDTF">2026-03-05T19:00:22Z</dcterms:modified>
</cp:coreProperties>
</file>