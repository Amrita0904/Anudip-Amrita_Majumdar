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592731FD-B548-4BCB-B079-217846ED9BDF}" xr6:coauthVersionLast="47" xr6:coauthVersionMax="47" xr10:uidLastSave="{00000000-0000-0000-0000-000000000000}"/>
  <bookViews>
    <workbookView xWindow="-108" yWindow="-108" windowWidth="23256" windowHeight="12456" activeTab="1" xr2:uid="{25E0AB44-4289-4BA9-B232-CD79F7522AB1}"/>
  </bookViews>
  <sheets>
    <sheet name=" Products" sheetId="2" r:id="rId1"/>
    <sheet name="Orders" sheetId="3" r:id="rId2"/>
    <sheet name="Question" sheetId="4" r:id="rId3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2" l="1"/>
  <c r="D18" i="2"/>
  <c r="D19" i="2"/>
  <c r="D20" i="2"/>
  <c r="D21" i="2"/>
  <c r="D22" i="2"/>
  <c r="D16" i="2"/>
  <c r="L25" i="3"/>
  <c r="H25" i="3"/>
  <c r="H26" i="3"/>
  <c r="H27" i="3"/>
  <c r="H28" i="3"/>
  <c r="H29" i="3"/>
  <c r="H30" i="3"/>
  <c r="H24" i="3"/>
  <c r="G25" i="3"/>
  <c r="G26" i="3"/>
  <c r="G27" i="3"/>
  <c r="G28" i="3"/>
  <c r="G29" i="3"/>
  <c r="G30" i="3"/>
  <c r="G24" i="3"/>
  <c r="E25" i="3"/>
  <c r="F25" i="3" s="1"/>
  <c r="E26" i="3"/>
  <c r="F26" i="3" s="1"/>
  <c r="E27" i="3"/>
  <c r="F27" i="3" s="1"/>
  <c r="E28" i="3"/>
  <c r="F28" i="3" s="1"/>
  <c r="E29" i="3"/>
  <c r="F29" i="3" s="1"/>
  <c r="E24" i="3"/>
  <c r="F24" i="3" s="1"/>
  <c r="D25" i="3"/>
  <c r="D26" i="3"/>
  <c r="D27" i="3"/>
  <c r="D28" i="3"/>
  <c r="D29" i="3"/>
  <c r="D24" i="3"/>
</calcChain>
</file>

<file path=xl/sharedStrings.xml><?xml version="1.0" encoding="utf-8"?>
<sst xmlns="http://schemas.openxmlformats.org/spreadsheetml/2006/main" count="47" uniqueCount="32">
  <si>
    <t>ProductID</t>
  </si>
  <si>
    <t>Product Name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</si>
  <si>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</si>
  <si>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</si>
  <si>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</si>
  <si>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</si>
  <si>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</si>
  <si>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</si>
  <si>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</si>
  <si>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</si>
  <si>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</si>
  <si>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TotalPrice</t>
  </si>
  <si>
    <t>Worksheet 1: Products</t>
  </si>
  <si>
    <t>Worksheet 2: Orders</t>
  </si>
  <si>
    <t>1. Use VLOOKUP to find the product names for each ProductID in the Orders  worksheet.</t>
  </si>
  <si>
    <t xml:space="preserve">2. Use VLOOKUP to find the price for each ProductID in the Orders worksheet, then calculate the TotalPrice by multiplying the Quantity by the Product Price. </t>
  </si>
  <si>
    <t>3. Use VLOOKUP to check if there are any ProductIDs in the Orders worksheet that  do not exist in the Products worksheet</t>
  </si>
  <si>
    <t>4. Assume a discount of 10% is given on all products. Use VLOOKUP to find the original price and then calculate the discounted price.</t>
  </si>
  <si>
    <t>5.Use VLOOKUP to find the price for each ProductID and then calculate the order value. Find the maximum order value from the list.</t>
  </si>
  <si>
    <t>6. Use VLOOKUP to find out which products from the Products worksheet have not  been ordered.</t>
  </si>
  <si>
    <t>product present/not</t>
  </si>
  <si>
    <t>Discounted price</t>
  </si>
  <si>
    <t>Maximum order value</t>
  </si>
  <si>
    <t>Product H</t>
  </si>
  <si>
    <t>Order /not Order</t>
  </si>
  <si>
    <t>Q.6</t>
  </si>
  <si>
    <t>Q.1</t>
  </si>
  <si>
    <t>Q.2</t>
  </si>
  <si>
    <t>Q.3</t>
  </si>
  <si>
    <t>Q.5</t>
  </si>
  <si>
    <t>Q.4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</si>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</sst>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3" borderId="6" xfId="0" applyFill="1" applyBorder="1" applyAlignment="1">
      <alignment horizontal="center"/>
    </xf>
    <xf numFmtId="0" fontId="0" fillId="0" borderId="7" xfId="0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Fill="1" applyAlignmen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11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1" xfId="0" applyBorder="1" applyAlignment="1"/>
    <xf numFmtId="0" fontId="0" fillId="0" borderId="1" xfId="0" applyBorder="1" applyAlignment="1"/>
    <xf numFmtId="0" fontId="0" fillId="9" borderId="5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CCFF"/>
      <color rgb="FFFFFFCC"/>
      <color rgb="FFFF3399"/>
      <color rgb="FFCC99FF"/>
      <color rgb="FFFFCC99"/>
      <color rgb="FFCCFFFF"/>
      <color rgb="FFCCCCFF"/>
      <color rgb="FFCCFF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9E92-81D5-4EBA-995B-D9805365D742}">
  <sheetPr>
    <tabColor rgb="FFCCFF99"/>
  </sheetPr>
  <dimension ref="A1:D22"/>
  <sheetViews>
    <sheetView workbookViewId="0">
      <selection activeCell="G20" sqref="G20"/>
    </sheetView>
  </sheetViews>
  <sheetFormatPr defaultRowHeight="14.4" x14ac:dyDescent="0.3"/>
  <cols>
    <col min="1" max="1" width="9.44140625" bestFit="1" customWidth="1"/>
    <col min="2" max="2" width="13.21875" bestFit="1" customWidth="1"/>
    <col min="3" max="3" width="5.109375" bestFit="1" customWidth="1"/>
    <col min="4" max="4" width="15.33203125" bestFit="1" customWidth="1"/>
  </cols>
  <sheetData>
    <row r="1" spans="1:4" x14ac:dyDescent="0.3">
      <c r="A1" s="8" t="s">
        <v>12</v>
      </c>
      <c r="B1" s="8"/>
      <c r="C1" s="8"/>
    </row>
    <row r="2" spans="1:4" x14ac:dyDescent="0.3">
      <c r="A2" s="24" t="s">
        <v>0</v>
      </c>
      <c r="B2" s="24" t="s">
        <v>1</v>
      </c>
      <c r="C2" s="24" t="s">
        <v>2</v>
      </c>
    </row>
    <row r="3" spans="1:4" x14ac:dyDescent="0.3">
      <c r="A3" s="5">
        <v>101</v>
      </c>
      <c r="B3" s="5" t="s">
        <v>3</v>
      </c>
      <c r="C3" s="5">
        <v>120</v>
      </c>
    </row>
    <row r="4" spans="1:4" x14ac:dyDescent="0.3">
      <c r="A4" s="5">
        <v>102</v>
      </c>
      <c r="B4" s="5" t="s">
        <v>4</v>
      </c>
      <c r="C4" s="5">
        <v>150</v>
      </c>
    </row>
    <row r="5" spans="1:4" x14ac:dyDescent="0.3">
      <c r="A5" s="5">
        <v>103</v>
      </c>
      <c r="B5" s="5" t="s">
        <v>5</v>
      </c>
      <c r="C5" s="5">
        <v>200</v>
      </c>
    </row>
    <row r="6" spans="1:4" x14ac:dyDescent="0.3">
      <c r="A6" s="5">
        <v>104</v>
      </c>
      <c r="B6" s="5" t="s">
        <v>6</v>
      </c>
      <c r="C6" s="5">
        <v>90</v>
      </c>
    </row>
    <row r="7" spans="1:4" x14ac:dyDescent="0.3">
      <c r="A7" s="5">
        <v>105</v>
      </c>
      <c r="B7" s="5" t="s">
        <v>7</v>
      </c>
      <c r="C7" s="5">
        <v>220</v>
      </c>
    </row>
    <row r="8" spans="1:4" x14ac:dyDescent="0.3">
      <c r="A8" s="5">
        <v>106</v>
      </c>
      <c r="B8" s="5" t="s">
        <v>8</v>
      </c>
      <c r="C8" s="5">
        <v>130</v>
      </c>
    </row>
    <row r="14" spans="1:4" x14ac:dyDescent="0.3">
      <c r="A14" s="7"/>
      <c r="B14" s="7"/>
      <c r="C14" s="7"/>
      <c r="D14" s="26" t="s">
        <v>25</v>
      </c>
    </row>
    <row r="15" spans="1:4" x14ac:dyDescent="0.3">
      <c r="A15" s="25" t="s">
        <v>0</v>
      </c>
      <c r="B15" s="25" t="s">
        <v>1</v>
      </c>
      <c r="C15" s="25" t="s">
        <v>2</v>
      </c>
      <c r="D15" s="22" t="s">
        <v>24</v>
      </c>
    </row>
    <row r="16" spans="1:4" x14ac:dyDescent="0.3">
      <c r="A16" s="5">
        <v>101</v>
      </c>
      <c r="B16" s="5" t="s">
        <v>3</v>
      </c>
      <c r="C16" s="5">
        <v>120</v>
      </c>
      <c r="D16" s="6" t="str">
        <f>IF(ISNA(VLOOKUP(A16,Orders!$B$2:$C$9,1,0)),"not orderd","orderd")</f>
        <v>orderd</v>
      </c>
    </row>
    <row r="17" spans="1:4" x14ac:dyDescent="0.3">
      <c r="A17" s="5">
        <v>102</v>
      </c>
      <c r="B17" s="5" t="s">
        <v>4</v>
      </c>
      <c r="C17" s="5">
        <v>150</v>
      </c>
      <c r="D17" s="6" t="str">
        <f>IF(ISNA(VLOOKUP(A17,Orders!$B$2:$C$9,1,0)),"not orderd","orderd")</f>
        <v>orderd</v>
      </c>
    </row>
    <row r="18" spans="1:4" x14ac:dyDescent="0.3">
      <c r="A18" s="5">
        <v>103</v>
      </c>
      <c r="B18" s="5" t="s">
        <v>5</v>
      </c>
      <c r="C18" s="5">
        <v>200</v>
      </c>
      <c r="D18" s="6" t="str">
        <f>IF(ISNA(VLOOKUP(A18,Orders!$B$2:$C$9,1,0)),"not orderd","orderd")</f>
        <v>orderd</v>
      </c>
    </row>
    <row r="19" spans="1:4" x14ac:dyDescent="0.3">
      <c r="A19" s="5">
        <v>104</v>
      </c>
      <c r="B19" s="5" t="s">
        <v>6</v>
      </c>
      <c r="C19" s="5">
        <v>90</v>
      </c>
      <c r="D19" s="6" t="str">
        <f>IF(ISNA(VLOOKUP(A19,Orders!$B$2:$C$9,1,0)),"not orderd","orderd")</f>
        <v>orderd</v>
      </c>
    </row>
    <row r="20" spans="1:4" x14ac:dyDescent="0.3">
      <c r="A20" s="5">
        <v>105</v>
      </c>
      <c r="B20" s="5" t="s">
        <v>7</v>
      </c>
      <c r="C20" s="5">
        <v>220</v>
      </c>
      <c r="D20" s="6" t="str">
        <f>IF(ISNA(VLOOKUP(A20,Orders!$B$2:$C$9,1,0)),"not orderd","orderd")</f>
        <v>orderd</v>
      </c>
    </row>
    <row r="21" spans="1:4" x14ac:dyDescent="0.3">
      <c r="A21" s="5">
        <v>106</v>
      </c>
      <c r="B21" s="5" t="s">
        <v>8</v>
      </c>
      <c r="C21" s="5">
        <v>130</v>
      </c>
      <c r="D21" s="6" t="str">
        <f>IF(ISNA(VLOOKUP(A21,Orders!$B$2:$C$9,1,0)),"not orderd","orderd")</f>
        <v>orderd</v>
      </c>
    </row>
    <row r="22" spans="1:4" x14ac:dyDescent="0.3">
      <c r="A22" s="5">
        <v>108</v>
      </c>
      <c r="B22" s="5" t="s">
        <v>23</v>
      </c>
      <c r="C22" s="5">
        <v>700</v>
      </c>
      <c r="D22" s="6" t="str">
        <f>IF(ISNA(VLOOKUP(A22,Orders!$B$2:$C$9,1,0)),"not orderd","orderd")</f>
        <v>not orderd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5E84-4B46-45E5-9C74-B6E2B9466A84}">
  <sheetPr>
    <tabColor rgb="FFCCCCFF"/>
  </sheetPr>
  <dimension ref="A1:L30"/>
  <sheetViews>
    <sheetView tabSelected="1" topLeftCell="A16" workbookViewId="0">
      <selection activeCell="H35" sqref="H35"/>
    </sheetView>
  </sheetViews>
  <sheetFormatPr defaultRowHeight="14.4" x14ac:dyDescent="0.3"/>
  <cols>
    <col min="1" max="1" width="7.5546875" bestFit="1" customWidth="1"/>
    <col min="2" max="2" width="9.44140625" bestFit="1" customWidth="1"/>
    <col min="3" max="3" width="8.33203125" bestFit="1" customWidth="1"/>
    <col min="4" max="4" width="13.21875" bestFit="1" customWidth="1"/>
    <col min="5" max="5" width="5.109375" bestFit="1" customWidth="1"/>
    <col min="6" max="6" width="9.33203125" bestFit="1" customWidth="1"/>
    <col min="7" max="7" width="18.44140625" customWidth="1"/>
    <col min="8" max="8" width="15.109375" bestFit="1" customWidth="1"/>
    <col min="11" max="11" width="19" bestFit="1" customWidth="1"/>
    <col min="12" max="12" width="4" bestFit="1" customWidth="1"/>
  </cols>
  <sheetData>
    <row r="1" spans="1:10" x14ac:dyDescent="0.3">
      <c r="A1" s="9" t="s">
        <v>13</v>
      </c>
      <c r="B1" s="9"/>
      <c r="C1" s="9"/>
      <c r="D1" s="11"/>
    </row>
    <row r="2" spans="1:10" x14ac:dyDescent="0.3">
      <c r="A2" s="20" t="s">
        <v>9</v>
      </c>
      <c r="B2" s="20" t="s">
        <v>0</v>
      </c>
      <c r="C2" s="21" t="s">
        <v>10</v>
      </c>
      <c r="D2" s="13"/>
    </row>
    <row r="3" spans="1:10" x14ac:dyDescent="0.3">
      <c r="A3" s="5">
        <v>1</v>
      </c>
      <c r="B3" s="5">
        <v>101</v>
      </c>
      <c r="C3" s="10">
        <v>2</v>
      </c>
      <c r="D3" s="12"/>
    </row>
    <row r="4" spans="1:10" x14ac:dyDescent="0.3">
      <c r="A4" s="5">
        <v>2</v>
      </c>
      <c r="B4" s="5">
        <v>103</v>
      </c>
      <c r="C4" s="10">
        <v>1</v>
      </c>
      <c r="D4" s="12"/>
      <c r="G4" s="1"/>
      <c r="H4" s="1"/>
      <c r="I4" s="1"/>
      <c r="J4" s="4"/>
    </row>
    <row r="5" spans="1:10" x14ac:dyDescent="0.3">
      <c r="A5" s="5">
        <v>3</v>
      </c>
      <c r="B5" s="5">
        <v>105</v>
      </c>
      <c r="C5" s="10">
        <v>4</v>
      </c>
      <c r="D5" s="12"/>
      <c r="G5" s="2"/>
      <c r="H5" s="2"/>
      <c r="I5" s="2"/>
    </row>
    <row r="6" spans="1:10" x14ac:dyDescent="0.3">
      <c r="A6" s="5">
        <v>4</v>
      </c>
      <c r="B6" s="5">
        <v>106</v>
      </c>
      <c r="C6" s="10">
        <v>3</v>
      </c>
      <c r="D6" s="12"/>
      <c r="G6" s="2"/>
      <c r="H6" s="2"/>
      <c r="I6" s="2"/>
    </row>
    <row r="7" spans="1:10" x14ac:dyDescent="0.3">
      <c r="A7" s="5">
        <v>5</v>
      </c>
      <c r="B7" s="5">
        <v>102</v>
      </c>
      <c r="C7" s="10">
        <v>5</v>
      </c>
      <c r="D7" s="12"/>
      <c r="G7" s="2"/>
      <c r="H7" s="2"/>
      <c r="I7" s="2"/>
    </row>
    <row r="8" spans="1:10" x14ac:dyDescent="0.3">
      <c r="A8" s="5">
        <v>6</v>
      </c>
      <c r="B8" s="5">
        <v>104</v>
      </c>
      <c r="C8" s="10">
        <v>6</v>
      </c>
      <c r="D8" s="12"/>
      <c r="G8" s="2"/>
      <c r="H8" s="2"/>
      <c r="I8" s="2"/>
    </row>
    <row r="9" spans="1:10" x14ac:dyDescent="0.3">
      <c r="A9" s="5">
        <v>7</v>
      </c>
      <c r="B9" s="5">
        <v>104</v>
      </c>
      <c r="C9" s="10">
        <v>7</v>
      </c>
      <c r="D9" s="12"/>
      <c r="G9" s="2"/>
      <c r="H9" s="2"/>
      <c r="I9" s="2"/>
    </row>
    <row r="10" spans="1:10" x14ac:dyDescent="0.3">
      <c r="G10" s="2"/>
      <c r="H10" s="2"/>
      <c r="I10" s="2"/>
    </row>
    <row r="11" spans="1:10" x14ac:dyDescent="0.3">
      <c r="G11" s="2"/>
      <c r="H11" s="2"/>
      <c r="I11" s="2"/>
    </row>
    <row r="12" spans="1:10" x14ac:dyDescent="0.3">
      <c r="G12" s="2"/>
    </row>
    <row r="13" spans="1:10" x14ac:dyDescent="0.3">
      <c r="G13" s="2"/>
    </row>
    <row r="14" spans="1:10" x14ac:dyDescent="0.3">
      <c r="G14" s="2"/>
    </row>
    <row r="15" spans="1:10" x14ac:dyDescent="0.3">
      <c r="G15" s="2"/>
    </row>
    <row r="16" spans="1:10" x14ac:dyDescent="0.3">
      <c r="G16" s="2"/>
    </row>
    <row r="17" spans="1:12" x14ac:dyDescent="0.3">
      <c r="G17" s="2"/>
    </row>
    <row r="18" spans="1:12" x14ac:dyDescent="0.3">
      <c r="G18" s="2"/>
    </row>
    <row r="19" spans="1:12" x14ac:dyDescent="0.3">
      <c r="G19" s="2"/>
    </row>
    <row r="22" spans="1:12" x14ac:dyDescent="0.3">
      <c r="D22" s="15" t="s">
        <v>26</v>
      </c>
      <c r="E22" s="16" t="s">
        <v>27</v>
      </c>
      <c r="F22" s="16"/>
      <c r="G22" s="17" t="s">
        <v>28</v>
      </c>
      <c r="H22" s="18" t="s">
        <v>30</v>
      </c>
    </row>
    <row r="23" spans="1:12" x14ac:dyDescent="0.3">
      <c r="A23" s="20" t="s">
        <v>9</v>
      </c>
      <c r="B23" s="20" t="s">
        <v>0</v>
      </c>
      <c r="C23" s="20" t="s">
        <v>10</v>
      </c>
      <c r="D23" s="22" t="s">
        <v>1</v>
      </c>
      <c r="E23" s="22" t="s">
        <v>2</v>
      </c>
      <c r="F23" s="22" t="s">
        <v>11</v>
      </c>
      <c r="G23" s="23" t="s">
        <v>20</v>
      </c>
      <c r="H23" s="22" t="s">
        <v>21</v>
      </c>
    </row>
    <row r="24" spans="1:12" x14ac:dyDescent="0.3">
      <c r="A24" s="5">
        <v>1</v>
      </c>
      <c r="B24" s="5">
        <v>101</v>
      </c>
      <c r="C24" s="5">
        <v>2</v>
      </c>
      <c r="D24" s="6" t="str">
        <f>VLOOKUP(B24,' Products'!$A$2:$C$8,2,0)</f>
        <v>Product A</v>
      </c>
      <c r="E24" s="6">
        <f>VLOOKUP(B24,' Products'!$A$2:$C$8,3,0)</f>
        <v>120</v>
      </c>
      <c r="F24" s="6">
        <f>E24*C24</f>
        <v>240</v>
      </c>
      <c r="G24" s="6" t="str">
        <f>IF(ISNA(VLOOKUP(B24,' Products'!$A$2:$C$8,1,0)),"NO","YES")</f>
        <v>YES</v>
      </c>
      <c r="H24" s="6">
        <f>E24-E24*10%</f>
        <v>108</v>
      </c>
      <c r="K24" s="19" t="s">
        <v>29</v>
      </c>
      <c r="L24" s="19"/>
    </row>
    <row r="25" spans="1:12" x14ac:dyDescent="0.3">
      <c r="A25" s="5">
        <v>2</v>
      </c>
      <c r="B25" s="5">
        <v>103</v>
      </c>
      <c r="C25" s="5">
        <v>1</v>
      </c>
      <c r="D25" s="6" t="str">
        <f>VLOOKUP(B25,' Products'!$A$2:$C$8,2,0)</f>
        <v>Product C</v>
      </c>
      <c r="E25" s="6">
        <f>VLOOKUP(B25,' Products'!$A$2:$C$8,3,0)</f>
        <v>200</v>
      </c>
      <c r="F25" s="6">
        <f t="shared" ref="F25:F30" si="0">E25*C25</f>
        <v>200</v>
      </c>
      <c r="G25" s="6" t="str">
        <f>IF(ISNA(VLOOKUP(B25,' Products'!$A$2:$C$8,1,0)),"NO","YES")</f>
        <v>YES</v>
      </c>
      <c r="H25" s="6">
        <f t="shared" ref="H25:H30" si="1">E25-E25*10%</f>
        <v>180</v>
      </c>
      <c r="K25" s="6" t="s">
        <v>22</v>
      </c>
      <c r="L25" s="6">
        <f>MAX(F24:F29)</f>
        <v>880</v>
      </c>
    </row>
    <row r="26" spans="1:12" x14ac:dyDescent="0.3">
      <c r="A26" s="5">
        <v>3</v>
      </c>
      <c r="B26" s="5">
        <v>105</v>
      </c>
      <c r="C26" s="5">
        <v>4</v>
      </c>
      <c r="D26" s="6" t="str">
        <f>VLOOKUP(B26,' Products'!$A$2:$C$8,2,0)</f>
        <v>Product E</v>
      </c>
      <c r="E26" s="6">
        <f>VLOOKUP(B26,' Products'!$A$2:$C$8,3,0)</f>
        <v>220</v>
      </c>
      <c r="F26" s="6">
        <f t="shared" si="0"/>
        <v>880</v>
      </c>
      <c r="G26" s="6" t="str">
        <f>IF(ISNA(VLOOKUP(B26,' Products'!$A$2:$C$8,1,0)),"NO","YES")</f>
        <v>YES</v>
      </c>
      <c r="H26" s="6">
        <f t="shared" si="1"/>
        <v>198</v>
      </c>
    </row>
    <row r="27" spans="1:12" x14ac:dyDescent="0.3">
      <c r="A27" s="5">
        <v>4</v>
      </c>
      <c r="B27" s="5">
        <v>106</v>
      </c>
      <c r="C27" s="5">
        <v>3</v>
      </c>
      <c r="D27" s="6" t="str">
        <f>VLOOKUP(B27,' Products'!$A$2:$C$8,2,0)</f>
        <v>Product F</v>
      </c>
      <c r="E27" s="6">
        <f>VLOOKUP(B27,' Products'!$A$2:$C$8,3,0)</f>
        <v>130</v>
      </c>
      <c r="F27" s="6">
        <f t="shared" si="0"/>
        <v>390</v>
      </c>
      <c r="G27" s="6" t="str">
        <f>IF(ISNA(VLOOKUP(B27,' Products'!$A$2:$C$8,1,0)),"NO","YES")</f>
        <v>YES</v>
      </c>
      <c r="H27" s="6">
        <f t="shared" si="1"/>
        <v>117</v>
      </c>
    </row>
    <row r="28" spans="1:12" x14ac:dyDescent="0.3">
      <c r="A28" s="5">
        <v>5</v>
      </c>
      <c r="B28" s="5">
        <v>102</v>
      </c>
      <c r="C28" s="5">
        <v>5</v>
      </c>
      <c r="D28" s="6" t="str">
        <f>VLOOKUP(B28,' Products'!$A$2:$C$8,2,0)</f>
        <v>Product B</v>
      </c>
      <c r="E28" s="6">
        <f>VLOOKUP(B28,' Products'!$A$2:$C$8,3,0)</f>
        <v>150</v>
      </c>
      <c r="F28" s="6">
        <f t="shared" si="0"/>
        <v>750</v>
      </c>
      <c r="G28" s="6" t="str">
        <f>IF(ISNA(VLOOKUP(B28,' Products'!$A$2:$C$8,1,0)),"NO","YES")</f>
        <v>YES</v>
      </c>
      <c r="H28" s="6">
        <f t="shared" si="1"/>
        <v>135</v>
      </c>
    </row>
    <row r="29" spans="1:12" x14ac:dyDescent="0.3">
      <c r="A29" s="5">
        <v>6</v>
      </c>
      <c r="B29" s="5">
        <v>104</v>
      </c>
      <c r="C29" s="5">
        <v>6</v>
      </c>
      <c r="D29" s="6" t="str">
        <f>VLOOKUP(B29,' Products'!$A$2:$C$8,2,0)</f>
        <v>Product D</v>
      </c>
      <c r="E29" s="6">
        <f>VLOOKUP(B29,' Products'!$A$2:$C$8,3,0)</f>
        <v>90</v>
      </c>
      <c r="F29" s="6">
        <f t="shared" si="0"/>
        <v>540</v>
      </c>
      <c r="G29" s="6" t="str">
        <f>IF(ISNA(VLOOKUP(B29,' Products'!$A$2:$C$8,1,0)),"NO","YES")</f>
        <v>YES</v>
      </c>
      <c r="H29" s="6">
        <f t="shared" si="1"/>
        <v>81</v>
      </c>
    </row>
    <row r="30" spans="1:12" x14ac:dyDescent="0.3">
      <c r="A30" s="5">
        <v>7</v>
      </c>
      <c r="B30" s="5">
        <v>107</v>
      </c>
      <c r="C30" s="5"/>
      <c r="D30" s="6"/>
      <c r="E30" s="6"/>
      <c r="F30" s="6"/>
      <c r="G30" s="6" t="str">
        <f>IF(ISNA(VLOOKUP(B30,' Products'!$A$2:$C$8,1,0)),"NO","YES")</f>
        <v>NO</v>
      </c>
      <c r="H30" s="6">
        <f t="shared" si="1"/>
        <v>0</v>
      </c>
    </row>
  </sheetData>
  <mergeCells count="3">
    <mergeCell ref="A1:D1"/>
    <mergeCell ref="E22:F22"/>
    <mergeCell ref="K24:L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E3BD-C993-4471-A36C-FC0A38F13599}">
  <sheetPr>
    <tabColor rgb="FFFF9999"/>
  </sheetPr>
  <dimension ref="A7:P15"/>
  <sheetViews>
    <sheetView workbookViewId="0">
      <selection activeCell="G21" sqref="G21"/>
    </sheetView>
  </sheetViews>
  <sheetFormatPr defaultRowHeight="14.4" x14ac:dyDescent="0.3"/>
  <sheetData>
    <row r="7" spans="1:16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3"/>
      <c r="L7" s="3"/>
      <c r="M7" s="3"/>
      <c r="N7" s="3"/>
      <c r="O7" s="3"/>
      <c r="P7" s="3"/>
    </row>
    <row r="9" spans="1:16" x14ac:dyDescent="0.3">
      <c r="A9" s="29" t="s">
        <v>31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1"/>
    </row>
    <row r="10" spans="1:16" x14ac:dyDescent="0.3">
      <c r="A10" s="27" t="s">
        <v>14</v>
      </c>
      <c r="B10" s="27"/>
      <c r="C10" s="27"/>
      <c r="D10" s="27"/>
      <c r="E10" s="27"/>
      <c r="F10" s="27"/>
      <c r="G10" s="27"/>
      <c r="H10" s="27"/>
      <c r="I10" s="27"/>
      <c r="J10" s="28"/>
      <c r="K10" s="28"/>
      <c r="L10" s="28"/>
      <c r="M10" s="28"/>
      <c r="N10" s="28"/>
      <c r="O10" s="28"/>
      <c r="P10" s="28"/>
    </row>
    <row r="11" spans="1:16" x14ac:dyDescent="0.3">
      <c r="A11" s="27" t="s">
        <v>15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6" x14ac:dyDescent="0.3">
      <c r="A12" s="27" t="s">
        <v>16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8"/>
      <c r="O12" s="28"/>
      <c r="P12" s="28"/>
    </row>
    <row r="13" spans="1:16" x14ac:dyDescent="0.3">
      <c r="A13" s="27" t="s">
        <v>17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8"/>
      <c r="O13" s="28"/>
      <c r="P13" s="28"/>
    </row>
    <row r="14" spans="1:16" x14ac:dyDescent="0.3">
      <c r="A14" s="27" t="s">
        <v>18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8"/>
      <c r="O14" s="28"/>
      <c r="P14" s="28"/>
    </row>
    <row r="15" spans="1:16" x14ac:dyDescent="0.3">
      <c r="A15" s="27" t="s">
        <v>19</v>
      </c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28"/>
      <c r="M15" s="28"/>
      <c r="N15" s="28"/>
      <c r="O15" s="28"/>
      <c r="P15" s="28"/>
    </row>
  </sheetData>
  <mergeCells count="7">
    <mergeCell ref="A9:P9"/>
    <mergeCell ref="A10:I10"/>
    <mergeCell ref="A11:P11"/>
    <mergeCell ref="A12:L12"/>
    <mergeCell ref="A13:M13"/>
    <mergeCell ref="A14:M14"/>
    <mergeCell ref="A15:J15"/>
  </mergeCells>
  <conditionalFormatting sqref="A10:P15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Products</vt:lpstr>
      <vt:lpstr>Orders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2026-03-07T06:11:03Z</dcterms:created>
  <dcterms:modified xsi:type="dcterms:W3CDTF">2026-03-09T08:54:25Z</dcterms:modified>
</cp:coreProperties>
</file>