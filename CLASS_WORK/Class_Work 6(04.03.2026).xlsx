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Anudip/excel/"/>
    </mc:Choice>
  </mc:AlternateContent>
  <xr:revisionPtr revIDLastSave="74" documentId="8_{5AC9904D-96D1-498D-8DE0-A874A871E747}" xr6:coauthVersionLast="47" xr6:coauthVersionMax="47" xr10:uidLastSave="{83C3C9ED-F454-49CC-BEA9-6674251C7452}"/>
  <bookViews>
    <workbookView xWindow="3384" yWindow="0" windowWidth="19488" windowHeight="12240" xr2:uid="{7C66AA12-17D7-4C18-9571-79084A8F6F55}"/>
  </bookViews>
  <sheets>
    <sheet name="Sheet1" sheetId="1" r:id="rId1"/>
  </sheets>
  <definedNames>
    <definedName name="_xlnm._FilterDatabase" localSheetId="0" hidden="1">Sheet1!$J$28:$R$38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2" i="1" l="1"/>
  <c r="AE21" i="1"/>
  <c r="AE18" i="1"/>
  <c r="AE17" i="1"/>
  <c r="AE16" i="1"/>
  <c r="AE15" i="1"/>
  <c r="AE14" i="1"/>
  <c r="AE13" i="1"/>
  <c r="AE12" i="1"/>
  <c r="AE11" i="1"/>
  <c r="AA24" i="1"/>
  <c r="J63" i="1"/>
  <c r="AD22" i="1"/>
  <c r="AD21" i="1"/>
  <c r="J67" i="1"/>
  <c r="S64" i="1"/>
  <c r="AD11" i="1"/>
  <c r="R56" i="1"/>
  <c r="K58" i="1"/>
  <c r="AD12" i="1"/>
  <c r="AD13" i="1"/>
  <c r="AD14" i="1"/>
  <c r="AD15" i="1"/>
  <c r="AD16" i="1"/>
  <c r="AD17" i="1"/>
  <c r="AD18" i="1"/>
  <c r="P56" i="1" a="1"/>
  <c r="P56" i="1" s="1"/>
  <c r="O56" i="1" a="1"/>
  <c r="O56" i="1" s="1"/>
  <c r="Q72" i="1"/>
  <c r="K73" i="1"/>
  <c r="N67" i="1"/>
  <c r="N56" i="1" l="1" a="1"/>
  <c r="N56" i="1" s="1"/>
  <c r="M56" i="1" a="1"/>
  <c r="M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<sst xmlns="http://schemas.openxmlformats.org/spreadsheetml/2006/main" count="430" uniqueCount="75">
  <si>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</si>
  <si>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</si>
  <si>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</si>
  <si>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</si>
  <si>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</si>
  <si>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</si>
  <si>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</si>
  <si>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</si>
  <si>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</si>
  <si>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</si>
  <si>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</si>
  <si>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</si>
  <si>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</si>
  <si>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</si>
  <si>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</si>
  <si>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</si>
  <si>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</si>
  <si>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</si>
  <si>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</si>
  <si>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</si>
  <si>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</si>
  <si>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</si>
  <si>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</si>
  <si>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</si>
  <si>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</si>
  <si>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</si>
  <si>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</si>
  <si>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</si>
  <si>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</si>
  <si>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</si>
  <si>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</si>
  <si>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</si>
  <si>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</si>
  <si>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</si>
  <si>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</si>
  <si>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</si>
  <si>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</si>
  <si>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</si>
  <si>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</si>
  <si>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</si>
  <si>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</si>
  <si>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</si>
  <si>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MAIN DATA</t>
  </si>
  <si>
    <t>QUESTION 1</t>
  </si>
  <si>
    <t>QUESTION 2</t>
  </si>
  <si>
    <t>Average Total_Sales</t>
  </si>
  <si>
    <t>&gt;3</t>
  </si>
  <si>
    <t>QUESTION 3              (sales done by Amit in East region.)</t>
  </si>
  <si>
    <t>Unique valus from the columns</t>
  </si>
  <si>
    <t>count</t>
  </si>
  <si>
    <t>Average Total_Quentity</t>
  </si>
  <si>
    <t xml:space="preserve"> Count number of Furniture orders</t>
  </si>
  <si>
    <t>COUNT</t>
  </si>
  <si>
    <t>QUESTION 9</t>
  </si>
  <si>
    <t xml:space="preserve"> Q10) Total sales for Electronics</t>
  </si>
  <si>
    <t xml:space="preserve"> Q11..Total sales done by Amit.</t>
  </si>
  <si>
    <t>SUMIF</t>
  </si>
  <si>
    <t>Total sales of Electronics in East region.</t>
  </si>
  <si>
    <t>Q12…</t>
  </si>
  <si>
    <t>SUMIFS</t>
  </si>
  <si>
    <t>Q13…</t>
  </si>
  <si>
    <t>Total sales by Priya in West region</t>
  </si>
  <si>
    <t>CRITERIA RANGE</t>
  </si>
  <si>
    <t>Count orders where:</t>
  </si>
  <si>
    <t xml:space="preserve">1.Category = Electronics </t>
  </si>
  <si>
    <t>2.Quantity &gt; 3</t>
  </si>
  <si>
    <t>Q16..</t>
  </si>
  <si>
    <t>Total Count of Quentity</t>
  </si>
  <si>
    <t>Quantity 8…</t>
  </si>
  <si>
    <t>Question 8 ,9,10,11,12,13,16</t>
  </si>
  <si>
    <t>QUESTION 14,15</t>
  </si>
  <si>
    <t>COUNTIFS</t>
  </si>
  <si>
    <t>Question 5,6,7</t>
  </si>
  <si>
    <t xml:space="preserve">       Total Quantity Sold=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</si>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</sst>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CC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14" fontId="0" fillId="0" borderId="9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" xfId="0" applyBorder="1"/>
    <xf numFmtId="0" fontId="0" fillId="4" borderId="4" xfId="0" applyFill="1" applyBorder="1"/>
    <xf numFmtId="0" fontId="0" fillId="4" borderId="14" xfId="0" applyFill="1" applyBorder="1"/>
    <xf numFmtId="0" fontId="0" fillId="3" borderId="4" xfId="0" applyFill="1" applyBorder="1"/>
    <xf numFmtId="0" fontId="0" fillId="3" borderId="14" xfId="0" applyFill="1" applyBorder="1"/>
    <xf numFmtId="0" fontId="0" fillId="5" borderId="0" xfId="0" applyFill="1"/>
    <xf numFmtId="0" fontId="0" fillId="0" borderId="6" xfId="0" applyBorder="1" applyAlignment="1">
      <alignment vertical="center" wrapText="1"/>
    </xf>
    <xf numFmtId="14" fontId="0" fillId="0" borderId="6" xfId="0" applyNumberFormat="1" applyBorder="1" applyAlignment="1">
      <alignment vertical="center" wrapText="1"/>
    </xf>
    <xf numFmtId="1" fontId="0" fillId="0" borderId="1" xfId="0" applyNumberFormat="1" applyBorder="1"/>
    <xf numFmtId="0" fontId="0" fillId="6" borderId="10" xfId="0" applyFill="1" applyBorder="1"/>
    <xf numFmtId="0" fontId="0" fillId="6" borderId="11" xfId="0" applyFill="1" applyBorder="1"/>
    <xf numFmtId="0" fontId="0" fillId="6" borderId="8" xfId="0" applyFill="1" applyBorder="1"/>
    <xf numFmtId="0" fontId="0" fillId="6" borderId="12" xfId="0" applyFill="1" applyBorder="1"/>
    <xf numFmtId="0" fontId="0" fillId="6" borderId="13" xfId="0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6" borderId="0" xfId="0" applyFill="1"/>
    <xf numFmtId="0" fontId="0" fillId="1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1" fillId="13" borderId="9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0" fillId="6" borderId="12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13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16">
    <dxf>
      <fill>
        <patternFill>
          <bgColor rgb="FF6699FF"/>
        </patternFill>
      </fill>
    </dxf>
    <dxf>
      <fill>
        <patternFill>
          <bgColor rgb="FFFF99FF"/>
        </patternFill>
      </fill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99FF"/>
      <color rgb="FF00FFFF"/>
      <color rgb="FFCCFF99"/>
      <color rgb="FFFFCCCC"/>
      <color rgb="FFFF9999"/>
      <color rgb="FFFFFF99"/>
      <color rgb="FFFFCCFF"/>
      <color rgb="FFFF6699"/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0A9AF-8CB7-4320-BEDD-D3A4C38365C7}" name="Table1" displayName="Table1" ref="A16:I26" totalsRowShown="0" headerRowDxfId="15" dataDxfId="13" headerRowBorderDxfId="14" tableBorderDxfId="12" totalsRowBorderDxfId="11">
  <autoFilter ref="A16:I26" xr:uid="{44C0A9AF-8CB7-4320-BEDD-D3A4C38365C7}">
    <filterColumn colId="5">
      <filters>
        <filter val="Electronics"/>
      </filters>
    </filterColumn>
  </autoFilter>
  <tableColumns count="9">
    <tableColumn id="1" xr3:uid="{03DE1391-A1EB-4974-956F-A3F873BE57E8}" name="Order_ID" dataDxfId="10"/>
    <tableColumn id="2" xr3:uid="{9BDB9707-5C44-4F8B-97F2-BC771CE23B19}" name="Date" dataDxfId="9"/>
    <tableColumn id="3" xr3:uid="{91FFA780-FA34-4335-85CA-FF90E4345D49}" name="Region" dataDxfId="8"/>
    <tableColumn id="4" xr3:uid="{008C0C69-6229-4137-A7D8-23760B57A6D5}" name="Salesperson" dataDxfId="7"/>
    <tableColumn id="5" xr3:uid="{3E8A5E7B-539D-4B2F-90E3-14EE2958F017}" name="Product" dataDxfId="6"/>
    <tableColumn id="6" xr3:uid="{3CBC8CC1-E869-4C44-9309-9FB22A677E41}" name="Category" dataDxfId="5"/>
    <tableColumn id="7" xr3:uid="{34845DC2-FB79-4A00-A647-ED265A0B9AE3}" name="Quantity" dataDxfId="4"/>
    <tableColumn id="8" xr3:uid="{8ADF0A3C-E2D1-4F3F-9843-61D93BC271B8}" name="Unit_Price" dataDxfId="3"/>
    <tableColumn id="9" xr3:uid="{D0CAA02C-8E12-4DC7-83C7-2E1281766AEA}" name="Total_Sale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sheetPr filterMode="1"/>
  <dimension ref="A1:AE87"/>
  <sheetViews>
    <sheetView tabSelected="1" topLeftCell="Q1" zoomScale="103" workbookViewId="0">
      <selection activeCell="W5" sqref="W5"/>
    </sheetView>
  </sheetViews>
  <sheetFormatPr defaultRowHeight="14.4" x14ac:dyDescent="0.3"/>
  <cols>
    <col min="1" max="1" width="13.88671875" bestFit="1" customWidth="1"/>
    <col min="2" max="2" width="10.33203125" bestFit="1" customWidth="1"/>
    <col min="3" max="3" width="12" bestFit="1" customWidth="1"/>
    <col min="4" max="4" width="16.33203125" bestFit="1" customWidth="1"/>
    <col min="5" max="5" width="13" bestFit="1" customWidth="1"/>
    <col min="6" max="7" width="13.77734375" bestFit="1" customWidth="1"/>
    <col min="8" max="8" width="15" bestFit="1" customWidth="1"/>
    <col min="9" max="9" width="34.88671875" bestFit="1" customWidth="1"/>
    <col min="10" max="10" width="13.88671875" bestFit="1" customWidth="1"/>
    <col min="11" max="11" width="10.33203125" bestFit="1" customWidth="1"/>
    <col min="12" max="12" width="12" bestFit="1" customWidth="1"/>
    <col min="13" max="13" width="16.33203125" bestFit="1" customWidth="1"/>
    <col min="14" max="14" width="13" bestFit="1" customWidth="1"/>
    <col min="15" max="16" width="13.77734375" bestFit="1" customWidth="1"/>
    <col min="17" max="17" width="15" bestFit="1" customWidth="1"/>
    <col min="18" max="18" width="15.77734375" bestFit="1" customWidth="1"/>
    <col min="19" max="19" width="10.6640625" bestFit="1" customWidth="1"/>
    <col min="21" max="21" width="8.77734375" bestFit="1" customWidth="1"/>
    <col min="22" max="22" width="10.33203125" bestFit="1" customWidth="1"/>
    <col min="23" max="23" width="6.88671875" bestFit="1" customWidth="1"/>
    <col min="24" max="24" width="11.21875" bestFit="1" customWidth="1"/>
    <col min="25" max="25" width="17.5546875" bestFit="1" customWidth="1"/>
    <col min="26" max="26" width="10" bestFit="1" customWidth="1"/>
    <col min="27" max="27" width="8.6640625" bestFit="1" customWidth="1"/>
    <col min="28" max="28" width="10" bestFit="1" customWidth="1"/>
    <col min="29" max="29" width="10.6640625" bestFit="1" customWidth="1"/>
    <col min="30" max="30" width="18.6640625" bestFit="1" customWidth="1"/>
    <col min="31" max="31" width="22.21875" bestFit="1" customWidth="1"/>
  </cols>
  <sheetData>
    <row r="1" spans="1:31" x14ac:dyDescent="0.3">
      <c r="A1" s="38" t="s">
        <v>42</v>
      </c>
      <c r="B1" s="38"/>
      <c r="C1" s="38"/>
      <c r="D1" s="38"/>
      <c r="E1" s="38"/>
      <c r="F1" s="38"/>
      <c r="G1" s="38"/>
      <c r="H1" s="38"/>
      <c r="I1" s="38"/>
      <c r="K1" s="39" t="s">
        <v>43</v>
      </c>
      <c r="L1" s="39"/>
      <c r="M1" s="39"/>
      <c r="N1" s="39"/>
      <c r="O1" s="39"/>
      <c r="P1" s="39"/>
      <c r="Q1" s="39"/>
      <c r="R1" s="39"/>
      <c r="S1" s="39"/>
    </row>
    <row r="2" spans="1:3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K2" s="5" t="s">
        <v>0</v>
      </c>
      <c r="L2" s="5" t="s">
        <v>1</v>
      </c>
      <c r="M2" s="5" t="s">
        <v>2</v>
      </c>
      <c r="N2" s="5" t="s">
        <v>3</v>
      </c>
      <c r="O2" s="5" t="s">
        <v>4</v>
      </c>
      <c r="P2" s="5" t="s">
        <v>5</v>
      </c>
      <c r="Q2" s="5" t="s">
        <v>6</v>
      </c>
      <c r="R2" s="5" t="s">
        <v>7</v>
      </c>
      <c r="S2" s="5" t="s">
        <v>8</v>
      </c>
    </row>
    <row r="3" spans="1:31" x14ac:dyDescent="0.3">
      <c r="A3" s="2">
        <v>1001</v>
      </c>
      <c r="B3" s="3">
        <v>45296</v>
      </c>
      <c r="C3" s="2" t="s">
        <v>9</v>
      </c>
      <c r="D3" s="2" t="s">
        <v>10</v>
      </c>
      <c r="E3" s="2" t="s">
        <v>11</v>
      </c>
      <c r="F3" s="2" t="s">
        <v>12</v>
      </c>
      <c r="G3" s="2">
        <v>2</v>
      </c>
      <c r="H3" s="2">
        <v>50000</v>
      </c>
      <c r="I3" s="2">
        <v>100000</v>
      </c>
      <c r="K3" s="6">
        <v>1008</v>
      </c>
      <c r="L3" s="7">
        <v>45319</v>
      </c>
      <c r="M3" s="6" t="s">
        <v>20</v>
      </c>
      <c r="N3" s="6" t="s">
        <v>21</v>
      </c>
      <c r="O3" s="6" t="s">
        <v>15</v>
      </c>
      <c r="P3" s="6" t="s">
        <v>12</v>
      </c>
      <c r="Q3" s="6">
        <v>6</v>
      </c>
      <c r="R3" s="6">
        <v>20000</v>
      </c>
      <c r="S3" s="6">
        <v>120000</v>
      </c>
    </row>
    <row r="4" spans="1:31" x14ac:dyDescent="0.3">
      <c r="A4" s="2">
        <v>1002</v>
      </c>
      <c r="B4" s="3">
        <v>45299</v>
      </c>
      <c r="C4" s="2" t="s">
        <v>13</v>
      </c>
      <c r="D4" s="2" t="s">
        <v>14</v>
      </c>
      <c r="E4" s="2" t="s">
        <v>15</v>
      </c>
      <c r="F4" s="2" t="s">
        <v>12</v>
      </c>
      <c r="G4" s="2">
        <v>5</v>
      </c>
      <c r="H4" s="2">
        <v>20000</v>
      </c>
      <c r="I4" s="2">
        <v>100000</v>
      </c>
      <c r="K4" s="6">
        <v>1001</v>
      </c>
      <c r="L4" s="7">
        <v>45296</v>
      </c>
      <c r="M4" s="6" t="s">
        <v>9</v>
      </c>
      <c r="N4" s="6" t="s">
        <v>10</v>
      </c>
      <c r="O4" s="6" t="s">
        <v>11</v>
      </c>
      <c r="P4" s="6" t="s">
        <v>12</v>
      </c>
      <c r="Q4" s="6">
        <v>2</v>
      </c>
      <c r="R4" s="6">
        <v>50000</v>
      </c>
      <c r="S4" s="6">
        <v>100000</v>
      </c>
    </row>
    <row r="5" spans="1:31" x14ac:dyDescent="0.3">
      <c r="A5" s="2">
        <v>1003</v>
      </c>
      <c r="B5" s="3">
        <v>45303</v>
      </c>
      <c r="C5" s="2" t="s">
        <v>16</v>
      </c>
      <c r="D5" s="2" t="s">
        <v>17</v>
      </c>
      <c r="E5" s="2" t="s">
        <v>18</v>
      </c>
      <c r="F5" s="2" t="s">
        <v>19</v>
      </c>
      <c r="G5" s="2">
        <v>10</v>
      </c>
      <c r="H5" s="2">
        <v>3000</v>
      </c>
      <c r="I5" s="2">
        <v>30000</v>
      </c>
      <c r="K5" s="6">
        <v>1002</v>
      </c>
      <c r="L5" s="7">
        <v>45299</v>
      </c>
      <c r="M5" s="6" t="s">
        <v>13</v>
      </c>
      <c r="N5" s="6" t="s">
        <v>14</v>
      </c>
      <c r="O5" s="6" t="s">
        <v>15</v>
      </c>
      <c r="P5" s="6" t="s">
        <v>12</v>
      </c>
      <c r="Q5" s="6">
        <v>5</v>
      </c>
      <c r="R5" s="6">
        <v>20000</v>
      </c>
      <c r="S5" s="6">
        <v>100000</v>
      </c>
    </row>
    <row r="6" spans="1:31" x14ac:dyDescent="0.3">
      <c r="A6" s="2">
        <v>1004</v>
      </c>
      <c r="B6" s="3">
        <v>45306</v>
      </c>
      <c r="C6" s="2" t="s">
        <v>20</v>
      </c>
      <c r="D6" s="2" t="s">
        <v>21</v>
      </c>
      <c r="E6" s="2" t="s">
        <v>22</v>
      </c>
      <c r="F6" s="2" t="s">
        <v>19</v>
      </c>
      <c r="G6" s="2">
        <v>3</v>
      </c>
      <c r="H6" s="2">
        <v>7000</v>
      </c>
      <c r="I6" s="2">
        <v>21000</v>
      </c>
      <c r="K6" s="6">
        <v>1005</v>
      </c>
      <c r="L6" s="7">
        <v>45309</v>
      </c>
      <c r="M6" s="6" t="s">
        <v>9</v>
      </c>
      <c r="N6" s="6" t="s">
        <v>10</v>
      </c>
      <c r="O6" s="6" t="s">
        <v>15</v>
      </c>
      <c r="P6" s="6" t="s">
        <v>12</v>
      </c>
      <c r="Q6" s="6">
        <v>4</v>
      </c>
      <c r="R6" s="6">
        <v>20000</v>
      </c>
      <c r="S6" s="6">
        <v>80000</v>
      </c>
    </row>
    <row r="7" spans="1:31" x14ac:dyDescent="0.3">
      <c r="A7" s="2">
        <v>1005</v>
      </c>
      <c r="B7" s="3">
        <v>45309</v>
      </c>
      <c r="C7" s="2" t="s">
        <v>9</v>
      </c>
      <c r="D7" s="2" t="s">
        <v>10</v>
      </c>
      <c r="E7" s="2" t="s">
        <v>15</v>
      </c>
      <c r="F7" s="2" t="s">
        <v>12</v>
      </c>
      <c r="G7" s="2">
        <v>4</v>
      </c>
      <c r="H7" s="2">
        <v>20000</v>
      </c>
      <c r="I7" s="2">
        <v>80000</v>
      </c>
      <c r="K7" s="6">
        <v>1006</v>
      </c>
      <c r="L7" s="7">
        <v>45311</v>
      </c>
      <c r="M7" s="6" t="s">
        <v>13</v>
      </c>
      <c r="N7" s="6" t="s">
        <v>14</v>
      </c>
      <c r="O7" s="6" t="s">
        <v>11</v>
      </c>
      <c r="P7" s="6" t="s">
        <v>12</v>
      </c>
      <c r="Q7" s="6">
        <v>1</v>
      </c>
      <c r="R7" s="6">
        <v>50000</v>
      </c>
      <c r="S7" s="6">
        <v>50000</v>
      </c>
    </row>
    <row r="8" spans="1:31" x14ac:dyDescent="0.3">
      <c r="A8" s="2">
        <v>1006</v>
      </c>
      <c r="B8" s="3">
        <v>45311</v>
      </c>
      <c r="C8" s="2" t="s">
        <v>13</v>
      </c>
      <c r="D8" s="2" t="s">
        <v>14</v>
      </c>
      <c r="E8" s="2" t="s">
        <v>11</v>
      </c>
      <c r="F8" s="2" t="s">
        <v>12</v>
      </c>
      <c r="G8" s="2">
        <v>1</v>
      </c>
      <c r="H8" s="2">
        <v>50000</v>
      </c>
      <c r="I8" s="2">
        <v>50000</v>
      </c>
      <c r="K8" s="6">
        <v>1009</v>
      </c>
      <c r="L8" s="7">
        <v>45324</v>
      </c>
      <c r="M8" s="6" t="s">
        <v>9</v>
      </c>
      <c r="N8" s="6" t="s">
        <v>10</v>
      </c>
      <c r="O8" s="6" t="s">
        <v>22</v>
      </c>
      <c r="P8" s="6" t="s">
        <v>19</v>
      </c>
      <c r="Q8" s="6">
        <v>5</v>
      </c>
      <c r="R8" s="6">
        <v>7000</v>
      </c>
      <c r="S8" s="6">
        <v>35000</v>
      </c>
    </row>
    <row r="9" spans="1:31" x14ac:dyDescent="0.3">
      <c r="A9" s="2">
        <v>1007</v>
      </c>
      <c r="B9" s="3">
        <v>45316</v>
      </c>
      <c r="C9" s="2" t="s">
        <v>16</v>
      </c>
      <c r="D9" s="2" t="s">
        <v>17</v>
      </c>
      <c r="E9" s="2" t="s">
        <v>23</v>
      </c>
      <c r="F9" s="2" t="s">
        <v>19</v>
      </c>
      <c r="G9" s="2">
        <v>2</v>
      </c>
      <c r="H9" s="2">
        <v>10000</v>
      </c>
      <c r="I9" s="2">
        <v>20000</v>
      </c>
      <c r="K9" s="6">
        <v>1003</v>
      </c>
      <c r="L9" s="7">
        <v>45303</v>
      </c>
      <c r="M9" s="6" t="s">
        <v>16</v>
      </c>
      <c r="N9" s="6" t="s">
        <v>17</v>
      </c>
      <c r="O9" s="6" t="s">
        <v>18</v>
      </c>
      <c r="P9" s="6" t="s">
        <v>19</v>
      </c>
      <c r="Q9" s="6">
        <v>10</v>
      </c>
      <c r="R9" s="6">
        <v>3000</v>
      </c>
      <c r="S9" s="6">
        <v>30000</v>
      </c>
      <c r="U9" s="42" t="s">
        <v>72</v>
      </c>
      <c r="V9" s="43"/>
      <c r="W9" s="43"/>
      <c r="X9" s="43"/>
      <c r="Y9" s="43"/>
      <c r="Z9" s="43"/>
      <c r="AA9" s="43"/>
      <c r="AB9" s="43"/>
      <c r="AC9" s="43"/>
      <c r="AD9" s="43"/>
      <c r="AE9" s="44"/>
    </row>
    <row r="10" spans="1:31" x14ac:dyDescent="0.3">
      <c r="A10" s="2">
        <v>1008</v>
      </c>
      <c r="B10" s="3">
        <v>45319</v>
      </c>
      <c r="C10" s="2" t="s">
        <v>20</v>
      </c>
      <c r="D10" s="2" t="s">
        <v>21</v>
      </c>
      <c r="E10" s="2" t="s">
        <v>15</v>
      </c>
      <c r="F10" s="2" t="s">
        <v>12</v>
      </c>
      <c r="G10" s="2">
        <v>6</v>
      </c>
      <c r="H10" s="2">
        <v>20000</v>
      </c>
      <c r="I10" s="2">
        <v>120000</v>
      </c>
      <c r="K10" s="6">
        <v>1004</v>
      </c>
      <c r="L10" s="7">
        <v>45306</v>
      </c>
      <c r="M10" s="6" t="s">
        <v>20</v>
      </c>
      <c r="N10" s="6" t="s">
        <v>21</v>
      </c>
      <c r="O10" s="6" t="s">
        <v>22</v>
      </c>
      <c r="P10" s="6" t="s">
        <v>19</v>
      </c>
      <c r="Q10" s="6">
        <v>3</v>
      </c>
      <c r="R10" s="6">
        <v>7000</v>
      </c>
      <c r="S10" s="6">
        <v>21000</v>
      </c>
      <c r="U10" s="5" t="s">
        <v>0</v>
      </c>
      <c r="V10" s="5" t="s">
        <v>1</v>
      </c>
      <c r="W10" s="5" t="s">
        <v>2</v>
      </c>
      <c r="X10" s="5" t="s">
        <v>3</v>
      </c>
      <c r="Y10" s="5" t="s">
        <v>4</v>
      </c>
      <c r="Z10" s="5" t="s">
        <v>5</v>
      </c>
      <c r="AA10" s="5" t="s">
        <v>6</v>
      </c>
      <c r="AB10" s="5" t="s">
        <v>7</v>
      </c>
      <c r="AC10" s="5" t="s">
        <v>8</v>
      </c>
      <c r="AD10" s="34" t="s">
        <v>45</v>
      </c>
      <c r="AE10" s="35" t="s">
        <v>50</v>
      </c>
    </row>
    <row r="11" spans="1:31" x14ac:dyDescent="0.3">
      <c r="A11" s="2">
        <v>1009</v>
      </c>
      <c r="B11" s="3">
        <v>45324</v>
      </c>
      <c r="C11" s="2" t="s">
        <v>9</v>
      </c>
      <c r="D11" s="2" t="s">
        <v>10</v>
      </c>
      <c r="E11" s="2" t="s">
        <v>22</v>
      </c>
      <c r="F11" s="2" t="s">
        <v>19</v>
      </c>
      <c r="G11" s="2">
        <v>5</v>
      </c>
      <c r="H11" s="2">
        <v>7000</v>
      </c>
      <c r="I11" s="2">
        <v>35000</v>
      </c>
      <c r="K11" s="6">
        <v>1010</v>
      </c>
      <c r="L11" s="7">
        <v>45327</v>
      </c>
      <c r="M11" s="6" t="s">
        <v>13</v>
      </c>
      <c r="N11" s="6" t="s">
        <v>14</v>
      </c>
      <c r="O11" s="6" t="s">
        <v>18</v>
      </c>
      <c r="P11" s="6" t="s">
        <v>19</v>
      </c>
      <c r="Q11" s="6">
        <v>7</v>
      </c>
      <c r="R11" s="6">
        <v>3000</v>
      </c>
      <c r="S11" s="6">
        <v>21000</v>
      </c>
      <c r="U11" s="6">
        <v>1001</v>
      </c>
      <c r="V11" s="7">
        <v>45296</v>
      </c>
      <c r="W11" s="6" t="s">
        <v>9</v>
      </c>
      <c r="X11" s="6" t="s">
        <v>10</v>
      </c>
      <c r="Y11" s="6" t="s">
        <v>11</v>
      </c>
      <c r="Z11" s="6" t="s">
        <v>12</v>
      </c>
      <c r="AA11" s="6">
        <v>2</v>
      </c>
      <c r="AB11" s="6">
        <v>50000</v>
      </c>
      <c r="AC11" s="6">
        <v>100000</v>
      </c>
      <c r="AD11" s="25">
        <f>AVERAGE(AC11:AC18)</f>
        <v>65125</v>
      </c>
      <c r="AE11" s="25">
        <f>AVERAGE(AA11:$AA$22)</f>
        <v>4.75</v>
      </c>
    </row>
    <row r="12" spans="1:31" x14ac:dyDescent="0.3">
      <c r="A12" s="2">
        <v>1010</v>
      </c>
      <c r="B12" s="3">
        <v>45327</v>
      </c>
      <c r="C12" s="2" t="s">
        <v>13</v>
      </c>
      <c r="D12" s="2" t="s">
        <v>14</v>
      </c>
      <c r="E12" s="2" t="s">
        <v>18</v>
      </c>
      <c r="F12" s="2" t="s">
        <v>19</v>
      </c>
      <c r="G12" s="2">
        <v>7</v>
      </c>
      <c r="H12" s="2">
        <v>3000</v>
      </c>
      <c r="I12" s="2">
        <v>21000</v>
      </c>
      <c r="K12" s="6">
        <v>1007</v>
      </c>
      <c r="L12" s="7">
        <v>45316</v>
      </c>
      <c r="M12" s="6" t="s">
        <v>16</v>
      </c>
      <c r="N12" s="6" t="s">
        <v>17</v>
      </c>
      <c r="O12" s="6" t="s">
        <v>23</v>
      </c>
      <c r="P12" s="6" t="s">
        <v>19</v>
      </c>
      <c r="Q12" s="6">
        <v>2</v>
      </c>
      <c r="R12" s="6">
        <v>10000</v>
      </c>
      <c r="S12" s="6">
        <v>20000</v>
      </c>
      <c r="U12" s="6">
        <v>1002</v>
      </c>
      <c r="V12" s="7">
        <v>45299</v>
      </c>
      <c r="W12" s="6" t="s">
        <v>13</v>
      </c>
      <c r="X12" s="6" t="s">
        <v>14</v>
      </c>
      <c r="Y12" s="6" t="s">
        <v>15</v>
      </c>
      <c r="Z12" s="6" t="s">
        <v>12</v>
      </c>
      <c r="AA12" s="6">
        <v>5</v>
      </c>
      <c r="AB12" s="6">
        <v>20000</v>
      </c>
      <c r="AC12" s="6">
        <v>100000</v>
      </c>
      <c r="AD12" s="25">
        <f>AVERAGE(AC12:AC19)</f>
        <v>57000</v>
      </c>
      <c r="AE12" s="25">
        <f>AVERAGE(AA12:$AA$22)</f>
        <v>5</v>
      </c>
    </row>
    <row r="13" spans="1:31" x14ac:dyDescent="0.3">
      <c r="U13" s="6">
        <v>1003</v>
      </c>
      <c r="V13" s="7">
        <v>45303</v>
      </c>
      <c r="W13" s="6" t="s">
        <v>16</v>
      </c>
      <c r="X13" s="6" t="s">
        <v>17</v>
      </c>
      <c r="Y13" s="6" t="s">
        <v>18</v>
      </c>
      <c r="Z13" s="6" t="s">
        <v>19</v>
      </c>
      <c r="AA13" s="6">
        <v>10</v>
      </c>
      <c r="AB13" s="6">
        <v>3000</v>
      </c>
      <c r="AC13" s="6">
        <v>30000</v>
      </c>
      <c r="AD13" s="25">
        <f t="shared" ref="AD13:AD18" si="0">AVERAGE(AC13:AC20)</f>
        <v>47125</v>
      </c>
      <c r="AE13" s="25">
        <f>AVERAGE(AA13:$AA$22)</f>
        <v>5</v>
      </c>
    </row>
    <row r="14" spans="1:31" x14ac:dyDescent="0.3">
      <c r="U14" s="6">
        <v>1004</v>
      </c>
      <c r="V14" s="7">
        <v>45306</v>
      </c>
      <c r="W14" s="6" t="s">
        <v>20</v>
      </c>
      <c r="X14" s="6" t="s">
        <v>21</v>
      </c>
      <c r="Y14" s="6" t="s">
        <v>22</v>
      </c>
      <c r="Z14" s="6" t="s">
        <v>19</v>
      </c>
      <c r="AA14" s="6">
        <v>3</v>
      </c>
      <c r="AB14" s="6">
        <v>7000</v>
      </c>
      <c r="AC14" s="6">
        <v>21000</v>
      </c>
      <c r="AD14" s="25">
        <f t="shared" si="0"/>
        <v>47750</v>
      </c>
      <c r="AE14" s="25">
        <f>AVERAGE(AA14:$AA$22)</f>
        <v>4.4444444444444446</v>
      </c>
    </row>
    <row r="15" spans="1:31" x14ac:dyDescent="0.3">
      <c r="A15" s="20"/>
      <c r="B15" s="21"/>
      <c r="C15" s="40" t="s">
        <v>44</v>
      </c>
      <c r="D15" s="40"/>
      <c r="E15" s="40"/>
      <c r="F15" s="40"/>
      <c r="G15" s="40"/>
      <c r="H15" s="40"/>
      <c r="I15" s="41"/>
      <c r="U15" s="6">
        <v>1005</v>
      </c>
      <c r="V15" s="7">
        <v>45309</v>
      </c>
      <c r="W15" s="6" t="s">
        <v>9</v>
      </c>
      <c r="X15" s="6" t="s">
        <v>10</v>
      </c>
      <c r="Y15" s="6" t="s">
        <v>15</v>
      </c>
      <c r="Z15" s="6" t="s">
        <v>12</v>
      </c>
      <c r="AA15" s="6">
        <v>4</v>
      </c>
      <c r="AB15" s="6">
        <v>20000</v>
      </c>
      <c r="AC15" s="6">
        <v>80000</v>
      </c>
      <c r="AD15" s="25">
        <f t="shared" si="0"/>
        <v>47750</v>
      </c>
      <c r="AE15" s="25">
        <f>AVERAGE(AA15:$AA$22)</f>
        <v>4.625</v>
      </c>
    </row>
    <row r="16" spans="1:31" x14ac:dyDescent="0.3">
      <c r="A16" s="10" t="s">
        <v>0</v>
      </c>
      <c r="B16" s="11" t="s">
        <v>1</v>
      </c>
      <c r="C16" s="11" t="s">
        <v>2</v>
      </c>
      <c r="D16" s="11" t="s">
        <v>3</v>
      </c>
      <c r="E16" s="11" t="s">
        <v>4</v>
      </c>
      <c r="F16" s="11" t="s">
        <v>5</v>
      </c>
      <c r="G16" s="11" t="s">
        <v>6</v>
      </c>
      <c r="H16" s="11" t="s">
        <v>7</v>
      </c>
      <c r="I16" s="12" t="s">
        <v>8</v>
      </c>
      <c r="U16" s="6">
        <v>1006</v>
      </c>
      <c r="V16" s="7">
        <v>45311</v>
      </c>
      <c r="W16" s="6" t="s">
        <v>13</v>
      </c>
      <c r="X16" s="6" t="s">
        <v>14</v>
      </c>
      <c r="Y16" s="6" t="s">
        <v>11</v>
      </c>
      <c r="Z16" s="6" t="s">
        <v>12</v>
      </c>
      <c r="AA16" s="6">
        <v>1</v>
      </c>
      <c r="AB16" s="6">
        <v>50000</v>
      </c>
      <c r="AC16" s="6">
        <v>50000</v>
      </c>
      <c r="AD16" s="25">
        <f t="shared" si="0"/>
        <v>43142.857142857145</v>
      </c>
      <c r="AE16" s="25">
        <f>AVERAGE(AA16:$AA$22)</f>
        <v>4.7142857142857144</v>
      </c>
    </row>
    <row r="17" spans="1:31" x14ac:dyDescent="0.3">
      <c r="A17" s="8">
        <v>1001</v>
      </c>
      <c r="B17" s="3">
        <v>45296</v>
      </c>
      <c r="C17" s="2" t="s">
        <v>9</v>
      </c>
      <c r="D17" s="2" t="s">
        <v>10</v>
      </c>
      <c r="E17" s="2" t="s">
        <v>11</v>
      </c>
      <c r="F17" s="2" t="s">
        <v>12</v>
      </c>
      <c r="G17" s="2">
        <v>2</v>
      </c>
      <c r="H17" s="2">
        <v>50000</v>
      </c>
      <c r="I17" s="9">
        <v>100000</v>
      </c>
      <c r="U17" s="6">
        <v>1007</v>
      </c>
      <c r="V17" s="7">
        <v>45316</v>
      </c>
      <c r="W17" s="6" t="s">
        <v>16</v>
      </c>
      <c r="X17" s="6" t="s">
        <v>17</v>
      </c>
      <c r="Y17" s="6" t="s">
        <v>23</v>
      </c>
      <c r="Z17" s="6" t="s">
        <v>19</v>
      </c>
      <c r="AA17" s="6">
        <v>2</v>
      </c>
      <c r="AB17" s="6">
        <v>10000</v>
      </c>
      <c r="AC17" s="6">
        <v>20000</v>
      </c>
      <c r="AD17" s="25">
        <f t="shared" si="0"/>
        <v>42000</v>
      </c>
      <c r="AE17" s="25">
        <f>AVERAGE(AA17:$AA$22)</f>
        <v>5.333333333333333</v>
      </c>
    </row>
    <row r="18" spans="1:31" x14ac:dyDescent="0.3">
      <c r="A18" s="8">
        <v>1002</v>
      </c>
      <c r="B18" s="3">
        <v>45299</v>
      </c>
      <c r="C18" s="2" t="s">
        <v>13</v>
      </c>
      <c r="D18" s="2" t="s">
        <v>14</v>
      </c>
      <c r="E18" s="2" t="s">
        <v>15</v>
      </c>
      <c r="F18" s="2" t="s">
        <v>12</v>
      </c>
      <c r="G18" s="2">
        <v>5</v>
      </c>
      <c r="H18" s="2">
        <v>20000</v>
      </c>
      <c r="I18" s="9">
        <v>100000</v>
      </c>
      <c r="U18" s="6">
        <v>1008</v>
      </c>
      <c r="V18" s="7">
        <v>45319</v>
      </c>
      <c r="W18" s="6" t="s">
        <v>20</v>
      </c>
      <c r="X18" s="6" t="s">
        <v>21</v>
      </c>
      <c r="Y18" s="6" t="s">
        <v>15</v>
      </c>
      <c r="Z18" s="6" t="s">
        <v>12</v>
      </c>
      <c r="AA18" s="6">
        <v>6</v>
      </c>
      <c r="AB18" s="6">
        <v>20000</v>
      </c>
      <c r="AC18" s="6">
        <v>120000</v>
      </c>
      <c r="AD18" s="25">
        <f t="shared" si="0"/>
        <v>46400</v>
      </c>
      <c r="AE18" s="25">
        <f>AVERAGE(AA18:$AA$22)</f>
        <v>6</v>
      </c>
    </row>
    <row r="19" spans="1:31" hidden="1" x14ac:dyDescent="0.3">
      <c r="A19" s="8">
        <v>1003</v>
      </c>
      <c r="B19" s="3">
        <v>45303</v>
      </c>
      <c r="C19" s="2" t="s">
        <v>16</v>
      </c>
      <c r="D19" s="2" t="s">
        <v>17</v>
      </c>
      <c r="E19" s="2" t="s">
        <v>18</v>
      </c>
      <c r="F19" s="2" t="s">
        <v>19</v>
      </c>
      <c r="G19" s="2">
        <v>10</v>
      </c>
      <c r="H19" s="2">
        <v>3000</v>
      </c>
      <c r="I19" s="9">
        <v>30000</v>
      </c>
      <c r="U19" s="23">
        <v>1009</v>
      </c>
      <c r="V19" s="24">
        <v>45324</v>
      </c>
      <c r="W19" s="23" t="s">
        <v>9</v>
      </c>
      <c r="X19" s="23" t="s">
        <v>10</v>
      </c>
      <c r="Y19" s="23" t="s">
        <v>22</v>
      </c>
      <c r="Z19" s="23" t="s">
        <v>19</v>
      </c>
      <c r="AA19" s="23">
        <v>5</v>
      </c>
      <c r="AB19" s="23">
        <v>7000</v>
      </c>
      <c r="AC19" s="23">
        <v>35000</v>
      </c>
    </row>
    <row r="20" spans="1:31" hidden="1" x14ac:dyDescent="0.3">
      <c r="A20" s="8">
        <v>1004</v>
      </c>
      <c r="B20" s="3">
        <v>45306</v>
      </c>
      <c r="C20" s="2" t="s">
        <v>20</v>
      </c>
      <c r="D20" s="2" t="s">
        <v>21</v>
      </c>
      <c r="E20" s="2" t="s">
        <v>22</v>
      </c>
      <c r="F20" s="2" t="s">
        <v>19</v>
      </c>
      <c r="G20" s="2">
        <v>3</v>
      </c>
      <c r="H20" s="2">
        <v>7000</v>
      </c>
      <c r="I20" s="9">
        <v>21000</v>
      </c>
      <c r="K20" s="4"/>
      <c r="U20" s="15">
        <v>1010</v>
      </c>
      <c r="V20" s="14">
        <v>45327</v>
      </c>
      <c r="W20" s="15" t="s">
        <v>13</v>
      </c>
      <c r="X20" s="15" t="s">
        <v>14</v>
      </c>
      <c r="Y20" s="15" t="s">
        <v>18</v>
      </c>
      <c r="Z20" s="15" t="s">
        <v>19</v>
      </c>
      <c r="AA20" s="15">
        <v>7</v>
      </c>
      <c r="AB20" s="15">
        <v>3000</v>
      </c>
      <c r="AC20" s="15">
        <v>21000</v>
      </c>
    </row>
    <row r="21" spans="1:31" x14ac:dyDescent="0.3">
      <c r="A21" s="8">
        <v>1005</v>
      </c>
      <c r="B21" s="3">
        <v>45309</v>
      </c>
      <c r="C21" s="2" t="s">
        <v>9</v>
      </c>
      <c r="D21" s="2" t="s">
        <v>10</v>
      </c>
      <c r="E21" s="2" t="s">
        <v>15</v>
      </c>
      <c r="F21" s="2" t="s">
        <v>12</v>
      </c>
      <c r="G21" s="2">
        <v>4</v>
      </c>
      <c r="H21" s="2">
        <v>20000</v>
      </c>
      <c r="I21" s="9">
        <v>80000</v>
      </c>
      <c r="K21" s="4"/>
      <c r="U21" s="2">
        <v>1009</v>
      </c>
      <c r="V21" s="3">
        <v>45324</v>
      </c>
      <c r="W21" s="2" t="s">
        <v>9</v>
      </c>
      <c r="X21" s="2" t="s">
        <v>10</v>
      </c>
      <c r="Y21" s="2" t="s">
        <v>22</v>
      </c>
      <c r="Z21" s="2" t="s">
        <v>19</v>
      </c>
      <c r="AA21" s="2">
        <v>5</v>
      </c>
      <c r="AB21" s="2">
        <v>7000</v>
      </c>
      <c r="AC21" s="2">
        <v>35000</v>
      </c>
      <c r="AD21" s="25">
        <f t="shared" ref="AD21:AD22" si="1">AVERAGE(AC21:AC28)</f>
        <v>28000</v>
      </c>
      <c r="AE21" s="25">
        <f>AVERAGE(AA21:$AA$22)</f>
        <v>6</v>
      </c>
    </row>
    <row r="22" spans="1:31" x14ac:dyDescent="0.3">
      <c r="A22" s="8">
        <v>1006</v>
      </c>
      <c r="B22" s="3">
        <v>45311</v>
      </c>
      <c r="C22" s="2" t="s">
        <v>13</v>
      </c>
      <c r="D22" s="2" t="s">
        <v>14</v>
      </c>
      <c r="E22" s="2" t="s">
        <v>11</v>
      </c>
      <c r="F22" s="2" t="s">
        <v>12</v>
      </c>
      <c r="G22" s="2">
        <v>1</v>
      </c>
      <c r="H22" s="2">
        <v>50000</v>
      </c>
      <c r="I22" s="9">
        <v>50000</v>
      </c>
      <c r="U22" s="2">
        <v>1010</v>
      </c>
      <c r="V22" s="3">
        <v>45327</v>
      </c>
      <c r="W22" s="2" t="s">
        <v>13</v>
      </c>
      <c r="X22" s="2" t="s">
        <v>14</v>
      </c>
      <c r="Y22" s="2" t="s">
        <v>18</v>
      </c>
      <c r="Z22" s="2" t="s">
        <v>19</v>
      </c>
      <c r="AA22" s="2">
        <v>7</v>
      </c>
      <c r="AB22" s="2">
        <v>3000</v>
      </c>
      <c r="AC22" s="2">
        <v>21000</v>
      </c>
      <c r="AD22" s="25">
        <f t="shared" si="1"/>
        <v>21000</v>
      </c>
      <c r="AE22" s="25">
        <f>AVERAGE(AA22:$AA$22)</f>
        <v>7</v>
      </c>
    </row>
    <row r="23" spans="1:31" hidden="1" x14ac:dyDescent="0.3">
      <c r="A23" s="8">
        <v>1007</v>
      </c>
      <c r="B23" s="3">
        <v>45316</v>
      </c>
      <c r="C23" s="2" t="s">
        <v>16</v>
      </c>
      <c r="D23" s="2" t="s">
        <v>17</v>
      </c>
      <c r="E23" s="2" t="s">
        <v>23</v>
      </c>
      <c r="F23" s="2" t="s">
        <v>19</v>
      </c>
      <c r="G23" s="2">
        <v>2</v>
      </c>
      <c r="H23" s="2">
        <v>10000</v>
      </c>
      <c r="I23" s="9">
        <v>20000</v>
      </c>
    </row>
    <row r="24" spans="1:31" x14ac:dyDescent="0.3">
      <c r="A24" s="8">
        <v>1008</v>
      </c>
      <c r="B24" s="3">
        <v>45319</v>
      </c>
      <c r="C24" s="2" t="s">
        <v>20</v>
      </c>
      <c r="D24" s="2" t="s">
        <v>21</v>
      </c>
      <c r="E24" s="2" t="s">
        <v>15</v>
      </c>
      <c r="F24" s="2" t="s">
        <v>12</v>
      </c>
      <c r="G24" s="2">
        <v>6</v>
      </c>
      <c r="H24" s="2">
        <v>20000</v>
      </c>
      <c r="I24" s="9">
        <v>120000</v>
      </c>
      <c r="Y24" s="18" t="s">
        <v>73</v>
      </c>
      <c r="Z24" s="19"/>
      <c r="AA24" s="77">
        <f>SUM($Q$3:$Q$12)</f>
        <v>45</v>
      </c>
    </row>
    <row r="25" spans="1:31" hidden="1" x14ac:dyDescent="0.3">
      <c r="A25" s="8">
        <v>1009</v>
      </c>
      <c r="B25" s="3">
        <v>45324</v>
      </c>
      <c r="C25" s="2" t="s">
        <v>9</v>
      </c>
      <c r="D25" s="2" t="s">
        <v>10</v>
      </c>
      <c r="E25" s="2" t="s">
        <v>22</v>
      </c>
      <c r="F25" s="2" t="s">
        <v>19</v>
      </c>
      <c r="G25" s="2">
        <v>5</v>
      </c>
      <c r="H25" s="2">
        <v>7000</v>
      </c>
      <c r="I25" s="9">
        <v>35000</v>
      </c>
    </row>
    <row r="26" spans="1:31" hidden="1" x14ac:dyDescent="0.3">
      <c r="A26" s="13">
        <v>1010</v>
      </c>
      <c r="B26" s="14">
        <v>45327</v>
      </c>
      <c r="C26" s="15" t="s">
        <v>13</v>
      </c>
      <c r="D26" s="15" t="s">
        <v>14</v>
      </c>
      <c r="E26" s="15" t="s">
        <v>18</v>
      </c>
      <c r="F26" s="15" t="s">
        <v>19</v>
      </c>
      <c r="G26" s="15">
        <v>7</v>
      </c>
      <c r="H26" s="15">
        <v>3000</v>
      </c>
      <c r="I26" s="16">
        <v>21000</v>
      </c>
    </row>
    <row r="27" spans="1:31" x14ac:dyDescent="0.3">
      <c r="J27" s="42" t="s">
        <v>47</v>
      </c>
      <c r="K27" s="43"/>
      <c r="L27" s="43"/>
      <c r="M27" s="43"/>
      <c r="N27" s="43"/>
      <c r="O27" s="43"/>
      <c r="P27" s="43"/>
      <c r="Q27" s="43"/>
      <c r="R27" s="44"/>
    </row>
    <row r="28" spans="1:31" x14ac:dyDescent="0.3">
      <c r="J28" s="5" t="s">
        <v>0</v>
      </c>
      <c r="K28" s="5" t="s">
        <v>1</v>
      </c>
      <c r="L28" s="5" t="s">
        <v>2</v>
      </c>
      <c r="M28" s="5" t="s">
        <v>3</v>
      </c>
      <c r="N28" s="5" t="s">
        <v>4</v>
      </c>
      <c r="O28" s="5" t="s">
        <v>5</v>
      </c>
      <c r="P28" s="5" t="s">
        <v>6</v>
      </c>
      <c r="Q28" s="5" t="s">
        <v>7</v>
      </c>
      <c r="R28" s="5" t="s">
        <v>8</v>
      </c>
    </row>
    <row r="29" spans="1:31" x14ac:dyDescent="0.3">
      <c r="J29" s="6">
        <v>1001</v>
      </c>
      <c r="K29" s="7">
        <v>45296</v>
      </c>
      <c r="L29" s="6" t="s">
        <v>9</v>
      </c>
      <c r="M29" s="6" t="s">
        <v>10</v>
      </c>
      <c r="N29" s="6" t="s">
        <v>11</v>
      </c>
      <c r="O29" s="6" t="s">
        <v>12</v>
      </c>
      <c r="P29" s="6">
        <v>2</v>
      </c>
      <c r="Q29" s="6">
        <v>50000</v>
      </c>
      <c r="R29" s="6">
        <v>100000</v>
      </c>
    </row>
    <row r="30" spans="1:31" hidden="1" x14ac:dyDescent="0.3">
      <c r="J30" s="6">
        <v>1002</v>
      </c>
      <c r="K30" s="7">
        <v>45299</v>
      </c>
      <c r="L30" s="6" t="s">
        <v>13</v>
      </c>
      <c r="M30" s="6" t="s">
        <v>14</v>
      </c>
      <c r="N30" s="6" t="s">
        <v>15</v>
      </c>
      <c r="O30" s="6" t="s">
        <v>12</v>
      </c>
      <c r="P30" s="6">
        <v>5</v>
      </c>
      <c r="Q30" s="6">
        <v>20000</v>
      </c>
      <c r="R30" s="6">
        <v>100000</v>
      </c>
    </row>
    <row r="31" spans="1:31" hidden="1" x14ac:dyDescent="0.3">
      <c r="J31" s="6">
        <v>1003</v>
      </c>
      <c r="K31" s="7">
        <v>45303</v>
      </c>
      <c r="L31" s="6" t="s">
        <v>16</v>
      </c>
      <c r="M31" s="6" t="s">
        <v>17</v>
      </c>
      <c r="N31" s="6" t="s">
        <v>18</v>
      </c>
      <c r="O31" s="6" t="s">
        <v>19</v>
      </c>
      <c r="P31" s="6">
        <v>10</v>
      </c>
      <c r="Q31" s="6">
        <v>3000</v>
      </c>
      <c r="R31" s="6">
        <v>30000</v>
      </c>
    </row>
    <row r="32" spans="1:31" hidden="1" x14ac:dyDescent="0.3">
      <c r="J32" s="6">
        <v>1004</v>
      </c>
      <c r="K32" s="7">
        <v>45306</v>
      </c>
      <c r="L32" s="6" t="s">
        <v>20</v>
      </c>
      <c r="M32" s="6" t="s">
        <v>21</v>
      </c>
      <c r="N32" s="6" t="s">
        <v>22</v>
      </c>
      <c r="O32" s="6" t="s">
        <v>19</v>
      </c>
      <c r="P32" s="6">
        <v>3</v>
      </c>
      <c r="Q32" s="6">
        <v>7000</v>
      </c>
      <c r="R32" s="6">
        <v>21000</v>
      </c>
    </row>
    <row r="33" spans="1:18" x14ac:dyDescent="0.3">
      <c r="J33" s="6">
        <v>1005</v>
      </c>
      <c r="K33" s="7">
        <v>45309</v>
      </c>
      <c r="L33" s="6" t="s">
        <v>9</v>
      </c>
      <c r="M33" s="6" t="s">
        <v>10</v>
      </c>
      <c r="N33" s="6" t="s">
        <v>15</v>
      </c>
      <c r="O33" s="6" t="s">
        <v>12</v>
      </c>
      <c r="P33" s="6">
        <v>4</v>
      </c>
      <c r="Q33" s="6">
        <v>20000</v>
      </c>
      <c r="R33" s="6">
        <v>80000</v>
      </c>
    </row>
    <row r="34" spans="1:18" hidden="1" x14ac:dyDescent="0.3">
      <c r="J34" s="6">
        <v>1006</v>
      </c>
      <c r="K34" s="7">
        <v>45311</v>
      </c>
      <c r="L34" s="6" t="s">
        <v>13</v>
      </c>
      <c r="M34" s="6" t="s">
        <v>14</v>
      </c>
      <c r="N34" s="6" t="s">
        <v>11</v>
      </c>
      <c r="O34" s="6" t="s">
        <v>12</v>
      </c>
      <c r="P34" s="6">
        <v>1</v>
      </c>
      <c r="Q34" s="6">
        <v>50000</v>
      </c>
      <c r="R34" s="6">
        <v>50000</v>
      </c>
    </row>
    <row r="35" spans="1:18" hidden="1" x14ac:dyDescent="0.3">
      <c r="J35" s="6">
        <v>1007</v>
      </c>
      <c r="K35" s="7">
        <v>45316</v>
      </c>
      <c r="L35" s="6" t="s">
        <v>16</v>
      </c>
      <c r="M35" s="6" t="s">
        <v>17</v>
      </c>
      <c r="N35" s="6" t="s">
        <v>23</v>
      </c>
      <c r="O35" s="6" t="s">
        <v>19</v>
      </c>
      <c r="P35" s="6">
        <v>2</v>
      </c>
      <c r="Q35" s="6">
        <v>10000</v>
      </c>
      <c r="R35" s="6">
        <v>20000</v>
      </c>
    </row>
    <row r="36" spans="1:18" hidden="1" x14ac:dyDescent="0.3">
      <c r="J36" s="6">
        <v>1008</v>
      </c>
      <c r="K36" s="7">
        <v>45319</v>
      </c>
      <c r="L36" s="6" t="s">
        <v>20</v>
      </c>
      <c r="M36" s="6" t="s">
        <v>21</v>
      </c>
      <c r="N36" s="6" t="s">
        <v>15</v>
      </c>
      <c r="O36" s="6" t="s">
        <v>12</v>
      </c>
      <c r="P36" s="6">
        <v>6</v>
      </c>
      <c r="Q36" s="6">
        <v>20000</v>
      </c>
      <c r="R36" s="6">
        <v>120000</v>
      </c>
    </row>
    <row r="37" spans="1:18" hidden="1" x14ac:dyDescent="0.3">
      <c r="J37" s="6">
        <v>1009</v>
      </c>
      <c r="K37" s="7">
        <v>45324</v>
      </c>
      <c r="L37" s="6" t="s">
        <v>9</v>
      </c>
      <c r="M37" s="6" t="s">
        <v>10</v>
      </c>
      <c r="N37" s="6" t="s">
        <v>22</v>
      </c>
      <c r="O37" s="6" t="s">
        <v>19</v>
      </c>
      <c r="P37" s="6">
        <v>5</v>
      </c>
      <c r="Q37" s="6">
        <v>7000</v>
      </c>
      <c r="R37" s="6">
        <v>35000</v>
      </c>
    </row>
    <row r="38" spans="1:18" hidden="1" x14ac:dyDescent="0.3">
      <c r="J38" s="6">
        <v>1010</v>
      </c>
      <c r="K38" s="7">
        <v>45327</v>
      </c>
      <c r="L38" s="6" t="s">
        <v>13</v>
      </c>
      <c r="M38" s="6" t="s">
        <v>14</v>
      </c>
      <c r="N38" s="6" t="s">
        <v>18</v>
      </c>
      <c r="O38" s="6" t="s">
        <v>19</v>
      </c>
      <c r="P38" s="6">
        <v>7</v>
      </c>
      <c r="Q38" s="6">
        <v>3000</v>
      </c>
      <c r="R38" s="6">
        <v>21000</v>
      </c>
    </row>
    <row r="39" spans="1:18" x14ac:dyDescent="0.3">
      <c r="A39" s="75" t="s">
        <v>74</v>
      </c>
      <c r="B39" s="75"/>
      <c r="C39" s="75"/>
      <c r="D39" s="75"/>
      <c r="E39" s="75"/>
    </row>
    <row r="40" spans="1:18" x14ac:dyDescent="0.3">
      <c r="A40" s="45" t="s">
        <v>24</v>
      </c>
      <c r="B40" s="45"/>
      <c r="C40" s="45"/>
      <c r="D40" s="45"/>
      <c r="E40" s="45"/>
    </row>
    <row r="41" spans="1:18" x14ac:dyDescent="0.3">
      <c r="A41" s="46" t="s">
        <v>25</v>
      </c>
      <c r="B41" s="46"/>
      <c r="C41" s="46"/>
      <c r="D41" s="46"/>
      <c r="E41" s="46"/>
    </row>
    <row r="42" spans="1:18" x14ac:dyDescent="0.3">
      <c r="A42" s="45" t="s">
        <v>26</v>
      </c>
      <c r="B42" s="45"/>
      <c r="C42" s="45"/>
      <c r="D42" s="45"/>
      <c r="E42" s="45"/>
      <c r="I42" s="76" t="s">
        <v>69</v>
      </c>
      <c r="J42" s="76"/>
      <c r="K42" s="76"/>
      <c r="L42" s="76"/>
      <c r="M42" s="76"/>
      <c r="N42" s="76"/>
      <c r="O42" s="76"/>
      <c r="P42" s="76"/>
      <c r="Q42" s="76"/>
    </row>
    <row r="43" spans="1:18" x14ac:dyDescent="0.3">
      <c r="A43" s="46" t="s">
        <v>27</v>
      </c>
      <c r="B43" s="46"/>
      <c r="C43" s="46"/>
      <c r="D43" s="46"/>
      <c r="E43" s="46"/>
      <c r="I43" s="5" t="s">
        <v>0</v>
      </c>
      <c r="J43" s="5" t="s">
        <v>1</v>
      </c>
      <c r="K43" s="5" t="s">
        <v>2</v>
      </c>
      <c r="L43" s="5" t="s">
        <v>3</v>
      </c>
      <c r="M43" s="5" t="s">
        <v>4</v>
      </c>
      <c r="N43" s="5" t="s">
        <v>5</v>
      </c>
      <c r="O43" s="5" t="s">
        <v>6</v>
      </c>
      <c r="P43" s="5" t="s">
        <v>7</v>
      </c>
      <c r="Q43" s="5" t="s">
        <v>8</v>
      </c>
    </row>
    <row r="44" spans="1:18" x14ac:dyDescent="0.3">
      <c r="A44" s="45" t="s">
        <v>28</v>
      </c>
      <c r="B44" s="45"/>
      <c r="C44" s="45"/>
      <c r="D44" s="45"/>
      <c r="E44" s="45"/>
      <c r="I44" s="6">
        <v>1001</v>
      </c>
      <c r="J44" s="7">
        <v>45296</v>
      </c>
      <c r="K44" s="6" t="s">
        <v>9</v>
      </c>
      <c r="L44" s="6" t="s">
        <v>14</v>
      </c>
      <c r="M44" s="6" t="s">
        <v>11</v>
      </c>
      <c r="N44" s="6" t="s">
        <v>12</v>
      </c>
      <c r="O44" s="6">
        <v>2</v>
      </c>
      <c r="P44" s="6">
        <v>50000</v>
      </c>
      <c r="Q44" s="6">
        <v>100000</v>
      </c>
    </row>
    <row r="45" spans="1:18" x14ac:dyDescent="0.3">
      <c r="A45" s="46" t="s">
        <v>29</v>
      </c>
      <c r="B45" s="46"/>
      <c r="C45" s="46"/>
      <c r="D45" s="46"/>
      <c r="E45" s="46"/>
      <c r="I45" s="6">
        <v>1002</v>
      </c>
      <c r="J45" s="7">
        <v>45299</v>
      </c>
      <c r="K45" s="6" t="s">
        <v>13</v>
      </c>
      <c r="L45" s="6" t="s">
        <v>14</v>
      </c>
      <c r="M45" s="6" t="s">
        <v>15</v>
      </c>
      <c r="N45" s="6" t="s">
        <v>12</v>
      </c>
      <c r="O45" s="6">
        <v>5</v>
      </c>
      <c r="P45" s="6">
        <v>20000</v>
      </c>
      <c r="Q45" s="6">
        <v>100000</v>
      </c>
    </row>
    <row r="46" spans="1:18" x14ac:dyDescent="0.3">
      <c r="A46" s="45" t="s">
        <v>30</v>
      </c>
      <c r="B46" s="45"/>
      <c r="C46" s="45"/>
      <c r="D46" s="45"/>
      <c r="E46" s="45"/>
      <c r="I46" s="6">
        <v>1003</v>
      </c>
      <c r="J46" s="7">
        <v>45303</v>
      </c>
      <c r="K46" s="6" t="s">
        <v>16</v>
      </c>
      <c r="L46" s="6" t="s">
        <v>17</v>
      </c>
      <c r="M46" s="6" t="s">
        <v>18</v>
      </c>
      <c r="N46" s="6" t="s">
        <v>19</v>
      </c>
      <c r="O46" s="6">
        <v>10</v>
      </c>
      <c r="P46" s="6">
        <v>3000</v>
      </c>
      <c r="Q46" s="6">
        <v>30000</v>
      </c>
    </row>
    <row r="47" spans="1:18" x14ac:dyDescent="0.3">
      <c r="A47" s="46" t="s">
        <v>31</v>
      </c>
      <c r="B47" s="46"/>
      <c r="C47" s="46"/>
      <c r="D47" s="46"/>
      <c r="E47" s="46"/>
      <c r="I47" s="6">
        <v>1004</v>
      </c>
      <c r="J47" s="7">
        <v>45306</v>
      </c>
      <c r="K47" s="6" t="s">
        <v>20</v>
      </c>
      <c r="L47" s="6" t="s">
        <v>21</v>
      </c>
      <c r="M47" s="6" t="s">
        <v>22</v>
      </c>
      <c r="N47" s="6" t="s">
        <v>19</v>
      </c>
      <c r="O47" s="6">
        <v>3</v>
      </c>
      <c r="P47" s="6">
        <v>7000</v>
      </c>
      <c r="Q47" s="6">
        <v>21000</v>
      </c>
    </row>
    <row r="48" spans="1:18" x14ac:dyDescent="0.3">
      <c r="A48" s="45" t="s">
        <v>32</v>
      </c>
      <c r="B48" s="45"/>
      <c r="C48" s="45"/>
      <c r="D48" s="45"/>
      <c r="E48" s="45"/>
      <c r="I48" s="6">
        <v>1005</v>
      </c>
      <c r="J48" s="7">
        <v>45309</v>
      </c>
      <c r="K48" s="6" t="s">
        <v>9</v>
      </c>
      <c r="L48" s="6" t="s">
        <v>10</v>
      </c>
      <c r="M48" s="6" t="s">
        <v>15</v>
      </c>
      <c r="N48" s="6" t="s">
        <v>12</v>
      </c>
      <c r="O48" s="6">
        <v>4</v>
      </c>
      <c r="P48" s="6">
        <v>20000</v>
      </c>
      <c r="Q48" s="6">
        <v>80000</v>
      </c>
    </row>
    <row r="49" spans="1:19" x14ac:dyDescent="0.3">
      <c r="A49" s="46" t="s">
        <v>33</v>
      </c>
      <c r="B49" s="46"/>
      <c r="C49" s="46"/>
      <c r="D49" s="46"/>
      <c r="E49" s="46"/>
      <c r="I49" s="6">
        <v>1006</v>
      </c>
      <c r="J49" s="7">
        <v>45311</v>
      </c>
      <c r="K49" s="6" t="s">
        <v>13</v>
      </c>
      <c r="L49" s="6" t="s">
        <v>14</v>
      </c>
      <c r="M49" s="6" t="s">
        <v>11</v>
      </c>
      <c r="N49" s="6" t="s">
        <v>12</v>
      </c>
      <c r="O49" s="6">
        <v>1</v>
      </c>
      <c r="P49" s="6">
        <v>50000</v>
      </c>
      <c r="Q49" s="6">
        <v>50000</v>
      </c>
    </row>
    <row r="50" spans="1:19" x14ac:dyDescent="0.3">
      <c r="A50" s="45" t="s">
        <v>34</v>
      </c>
      <c r="B50" s="45"/>
      <c r="C50" s="45"/>
      <c r="D50" s="45"/>
      <c r="E50" s="45"/>
      <c r="I50" s="6">
        <v>1007</v>
      </c>
      <c r="J50" s="7">
        <v>45316</v>
      </c>
      <c r="K50" s="6" t="s">
        <v>16</v>
      </c>
      <c r="L50" s="6" t="s">
        <v>10</v>
      </c>
      <c r="M50" s="6" t="s">
        <v>23</v>
      </c>
      <c r="N50" s="6" t="s">
        <v>19</v>
      </c>
      <c r="O50" s="6">
        <v>2</v>
      </c>
      <c r="P50" s="6">
        <v>10000</v>
      </c>
      <c r="Q50" s="6">
        <v>20000</v>
      </c>
    </row>
    <row r="51" spans="1:19" x14ac:dyDescent="0.3">
      <c r="A51" s="46" t="s">
        <v>35</v>
      </c>
      <c r="B51" s="46"/>
      <c r="C51" s="46"/>
      <c r="D51" s="46"/>
      <c r="E51" s="46"/>
      <c r="I51" s="6">
        <v>1008</v>
      </c>
      <c r="J51" s="7">
        <v>45319</v>
      </c>
      <c r="K51" s="6" t="s">
        <v>20</v>
      </c>
      <c r="L51" s="6" t="s">
        <v>17</v>
      </c>
      <c r="M51" s="6" t="s">
        <v>15</v>
      </c>
      <c r="N51" s="6" t="s">
        <v>12</v>
      </c>
      <c r="O51" s="6">
        <v>6</v>
      </c>
      <c r="P51" s="6">
        <v>20000</v>
      </c>
      <c r="Q51" s="6">
        <v>120000</v>
      </c>
    </row>
    <row r="52" spans="1:19" x14ac:dyDescent="0.3">
      <c r="A52" s="45" t="s">
        <v>36</v>
      </c>
      <c r="B52" s="45"/>
      <c r="C52" s="45"/>
      <c r="D52" s="45"/>
      <c r="E52" s="45"/>
      <c r="I52" s="6">
        <v>1009</v>
      </c>
      <c r="J52" s="7">
        <v>45324</v>
      </c>
      <c r="K52" s="6" t="s">
        <v>9</v>
      </c>
      <c r="L52" s="6" t="s">
        <v>10</v>
      </c>
      <c r="M52" s="6" t="s">
        <v>22</v>
      </c>
      <c r="N52" s="6" t="s">
        <v>19</v>
      </c>
      <c r="O52" s="6">
        <v>5</v>
      </c>
      <c r="P52" s="6">
        <v>7000</v>
      </c>
      <c r="Q52" s="6">
        <v>35000</v>
      </c>
    </row>
    <row r="53" spans="1:19" x14ac:dyDescent="0.3">
      <c r="A53" s="46" t="s">
        <v>37</v>
      </c>
      <c r="B53" s="46"/>
      <c r="C53" s="46"/>
      <c r="D53" s="46"/>
      <c r="E53" s="46"/>
      <c r="I53" s="6">
        <v>1010</v>
      </c>
      <c r="J53" s="7">
        <v>45327</v>
      </c>
      <c r="K53" s="6" t="s">
        <v>13</v>
      </c>
      <c r="L53" s="6" t="s">
        <v>14</v>
      </c>
      <c r="M53" s="6" t="s">
        <v>18</v>
      </c>
      <c r="N53" s="6" t="s">
        <v>19</v>
      </c>
      <c r="O53" s="6">
        <v>7</v>
      </c>
      <c r="P53" s="6">
        <v>3000</v>
      </c>
      <c r="Q53" s="6">
        <v>21000</v>
      </c>
    </row>
    <row r="54" spans="1:19" x14ac:dyDescent="0.3">
      <c r="A54" s="45" t="s">
        <v>38</v>
      </c>
      <c r="B54" s="45"/>
      <c r="C54" s="45"/>
      <c r="D54" s="45"/>
      <c r="E54" s="45"/>
      <c r="R54" s="74" t="s">
        <v>68</v>
      </c>
      <c r="S54" s="74"/>
    </row>
    <row r="55" spans="1:19" x14ac:dyDescent="0.3">
      <c r="A55" s="46" t="s">
        <v>39</v>
      </c>
      <c r="B55" s="46"/>
      <c r="C55" s="46"/>
      <c r="D55" s="46"/>
      <c r="E55" s="46"/>
      <c r="M55" s="48" t="s">
        <v>48</v>
      </c>
      <c r="N55" s="49"/>
      <c r="O55" s="49"/>
      <c r="P55" s="50"/>
      <c r="R55" s="72" t="s">
        <v>67</v>
      </c>
      <c r="S55" s="73"/>
    </row>
    <row r="56" spans="1:19" x14ac:dyDescent="0.3">
      <c r="A56" s="55" t="s">
        <v>40</v>
      </c>
      <c r="B56" s="55"/>
      <c r="C56" s="55"/>
      <c r="D56" s="55"/>
      <c r="E56" s="55"/>
      <c r="M56" s="22" t="str" cm="1">
        <f t="array" ref="M56:M57">_xlfn.UNIQUE(N44:N53)</f>
        <v>Electronics</v>
      </c>
      <c r="N56" s="22" t="str" cm="1">
        <f t="array" ref="N56:N60">_xlfn.UNIQUE(M44:M53)</f>
        <v>Laptop</v>
      </c>
      <c r="O56" s="22" t="str" cm="1">
        <f t="array" ref="O56:O59">_xlfn.UNIQUE(L44:L53)</f>
        <v>Priya</v>
      </c>
      <c r="P56" s="22" t="str" cm="1">
        <f t="array" ref="P56:P59">_xlfn.UNIQUE(K44:K53)</f>
        <v>East</v>
      </c>
      <c r="R56" s="72">
        <f>COUNT(O44:O53)</f>
        <v>10</v>
      </c>
      <c r="S56" s="73"/>
    </row>
    <row r="57" spans="1:19" x14ac:dyDescent="0.3">
      <c r="A57" s="55" t="s">
        <v>41</v>
      </c>
      <c r="B57" s="55"/>
      <c r="C57" s="55"/>
      <c r="D57" s="55"/>
      <c r="E57" s="55"/>
      <c r="I57" s="31" t="s">
        <v>5</v>
      </c>
      <c r="J57" s="31" t="s">
        <v>4</v>
      </c>
      <c r="K57" s="32" t="s">
        <v>49</v>
      </c>
      <c r="M57" s="22" t="str">
        <v>Furniture</v>
      </c>
      <c r="N57" s="22" t="str">
        <v>Phone</v>
      </c>
      <c r="O57" s="22" t="str">
        <v>Rahul</v>
      </c>
      <c r="P57" s="22" t="str">
        <v>West</v>
      </c>
    </row>
    <row r="58" spans="1:19" x14ac:dyDescent="0.3">
      <c r="I58" s="33" t="s">
        <v>19</v>
      </c>
      <c r="J58" s="33" t="s">
        <v>23</v>
      </c>
      <c r="K58" s="32">
        <f>COUNTIFS(N44:N53,I58,M44:M53,J58)</f>
        <v>1</v>
      </c>
      <c r="M58" s="22"/>
      <c r="N58" s="22" t="str">
        <v>Chair</v>
      </c>
      <c r="O58" s="22" t="str">
        <v>Neha</v>
      </c>
      <c r="P58" s="22" t="str">
        <v>North</v>
      </c>
      <c r="Q58" s="56" t="s">
        <v>66</v>
      </c>
      <c r="R58" s="57"/>
      <c r="S58" s="58"/>
    </row>
    <row r="59" spans="1:19" x14ac:dyDescent="0.3">
      <c r="I59" s="29" t="s">
        <v>53</v>
      </c>
      <c r="J59" s="30"/>
      <c r="M59" s="22"/>
      <c r="N59" s="22" t="str">
        <v>Table</v>
      </c>
      <c r="O59" s="22" t="str">
        <v>Amit</v>
      </c>
      <c r="P59" s="22" t="str">
        <v>South</v>
      </c>
      <c r="Q59" s="66" t="s">
        <v>63</v>
      </c>
      <c r="R59" s="67"/>
      <c r="S59" s="68"/>
    </row>
    <row r="60" spans="1:19" x14ac:dyDescent="0.3">
      <c r="I60" s="51" t="s">
        <v>51</v>
      </c>
      <c r="J60" s="52"/>
      <c r="M60" s="22"/>
      <c r="N60" s="22" t="str">
        <v>Desk</v>
      </c>
      <c r="O60" s="22"/>
      <c r="P60" s="22"/>
      <c r="Q60" s="66" t="s">
        <v>64</v>
      </c>
      <c r="R60" s="67"/>
      <c r="S60" s="68"/>
    </row>
    <row r="61" spans="1:19" x14ac:dyDescent="0.3">
      <c r="I61" s="36" t="s">
        <v>62</v>
      </c>
      <c r="J61" s="61" t="s">
        <v>52</v>
      </c>
      <c r="Q61" s="69" t="s">
        <v>65</v>
      </c>
      <c r="R61" s="70"/>
      <c r="S61" s="71"/>
    </row>
    <row r="62" spans="1:19" x14ac:dyDescent="0.3">
      <c r="I62" s="5" t="s">
        <v>5</v>
      </c>
      <c r="J62" s="61"/>
      <c r="Q62" s="60" t="s">
        <v>62</v>
      </c>
      <c r="R62" s="60"/>
      <c r="S62" s="61" t="s">
        <v>71</v>
      </c>
    </row>
    <row r="63" spans="1:19" x14ac:dyDescent="0.3">
      <c r="I63" s="6" t="s">
        <v>12</v>
      </c>
      <c r="J63" s="17">
        <f>COUNTIF(N44:N53,I63)</f>
        <v>5</v>
      </c>
      <c r="Q63" s="5" t="s">
        <v>5</v>
      </c>
      <c r="R63" s="5" t="s">
        <v>6</v>
      </c>
      <c r="S63" s="61"/>
    </row>
    <row r="64" spans="1:19" x14ac:dyDescent="0.3">
      <c r="I64" s="53" t="s">
        <v>54</v>
      </c>
      <c r="J64" s="53"/>
      <c r="M64" s="53" t="s">
        <v>55</v>
      </c>
      <c r="N64" s="53"/>
      <c r="Q64" s="6" t="s">
        <v>12</v>
      </c>
      <c r="R64" s="6" t="s">
        <v>46</v>
      </c>
      <c r="S64" s="17">
        <f>COUNTIFS(N44:N53,Q64,O44:O53,R64)</f>
        <v>3</v>
      </c>
    </row>
    <row r="65" spans="2:17" x14ac:dyDescent="0.3">
      <c r="I65" s="36" t="s">
        <v>62</v>
      </c>
      <c r="J65" s="59" t="s">
        <v>56</v>
      </c>
      <c r="M65" s="36" t="s">
        <v>62</v>
      </c>
      <c r="N65" s="59" t="s">
        <v>56</v>
      </c>
    </row>
    <row r="66" spans="2:17" x14ac:dyDescent="0.3">
      <c r="I66" s="5" t="s">
        <v>5</v>
      </c>
      <c r="J66" s="59"/>
      <c r="M66" s="5" t="s">
        <v>3</v>
      </c>
      <c r="N66" s="59"/>
    </row>
    <row r="67" spans="2:17" x14ac:dyDescent="0.3">
      <c r="I67" s="6" t="s">
        <v>12</v>
      </c>
      <c r="J67" s="17">
        <f>SUMIF(N44:N53,I67,Q44:Q53)</f>
        <v>450000</v>
      </c>
      <c r="M67" s="6" t="s">
        <v>21</v>
      </c>
      <c r="N67" s="17">
        <f>SUMIF(L44:L53,M67,Q44:Q53)</f>
        <v>21000</v>
      </c>
    </row>
    <row r="68" spans="2:17" x14ac:dyDescent="0.3">
      <c r="O68" s="56" t="s">
        <v>60</v>
      </c>
      <c r="P68" s="57"/>
      <c r="Q68" s="58"/>
    </row>
    <row r="69" spans="2:17" x14ac:dyDescent="0.3">
      <c r="I69" s="26" t="s">
        <v>58</v>
      </c>
      <c r="J69" s="27"/>
      <c r="K69" s="28"/>
      <c r="O69" s="51" t="s">
        <v>61</v>
      </c>
      <c r="P69" s="54"/>
      <c r="Q69" s="52"/>
    </row>
    <row r="70" spans="2:17" x14ac:dyDescent="0.3">
      <c r="I70" s="29" t="s">
        <v>57</v>
      </c>
      <c r="J70" s="37"/>
      <c r="K70" s="30"/>
      <c r="O70" s="62" t="s">
        <v>62</v>
      </c>
      <c r="P70" s="63"/>
      <c r="Q70" s="64" t="s">
        <v>56</v>
      </c>
    </row>
    <row r="71" spans="2:17" x14ac:dyDescent="0.3">
      <c r="I71" s="60" t="s">
        <v>62</v>
      </c>
      <c r="J71" s="60"/>
      <c r="K71" s="59" t="s">
        <v>59</v>
      </c>
      <c r="O71" s="5" t="s">
        <v>3</v>
      </c>
      <c r="P71" s="5" t="s">
        <v>2</v>
      </c>
      <c r="Q71" s="65"/>
    </row>
    <row r="72" spans="2:17" x14ac:dyDescent="0.3">
      <c r="I72" s="5" t="s">
        <v>5</v>
      </c>
      <c r="J72" s="5" t="s">
        <v>2</v>
      </c>
      <c r="K72" s="59"/>
      <c r="O72" s="6" t="s">
        <v>14</v>
      </c>
      <c r="P72" s="6" t="s">
        <v>13</v>
      </c>
      <c r="Q72" s="17">
        <f>SUMIFS(Q44:Q53,L44:L53,O72,K44:K53,P72)</f>
        <v>171000</v>
      </c>
    </row>
    <row r="73" spans="2:17" x14ac:dyDescent="0.3">
      <c r="I73" s="6" t="s">
        <v>12</v>
      </c>
      <c r="J73" s="6" t="s">
        <v>9</v>
      </c>
      <c r="K73" s="17">
        <f>SUMIFS(Q44:Q53,N44:N53,I73,K44:K53,J73)</f>
        <v>180000</v>
      </c>
    </row>
    <row r="76" spans="2:17" x14ac:dyDescent="0.3">
      <c r="B76" s="47" t="s">
        <v>70</v>
      </c>
      <c r="C76" s="47"/>
      <c r="D76" s="47"/>
      <c r="E76" s="47"/>
      <c r="F76" s="47"/>
      <c r="G76" s="47"/>
      <c r="H76" s="47"/>
      <c r="I76" s="47"/>
      <c r="J76" s="47"/>
    </row>
    <row r="77" spans="2:17" x14ac:dyDescent="0.3">
      <c r="B77" s="5" t="s">
        <v>0</v>
      </c>
      <c r="C77" s="5" t="s">
        <v>1</v>
      </c>
      <c r="D77" s="5" t="s">
        <v>2</v>
      </c>
      <c r="E77" s="5" t="s">
        <v>3</v>
      </c>
      <c r="F77" s="5" t="s">
        <v>4</v>
      </c>
      <c r="G77" s="5" t="s">
        <v>5</v>
      </c>
      <c r="H77" s="5" t="s">
        <v>6</v>
      </c>
      <c r="I77" s="5" t="s">
        <v>7</v>
      </c>
      <c r="J77" s="5" t="s">
        <v>8</v>
      </c>
    </row>
    <row r="78" spans="2:17" x14ac:dyDescent="0.3">
      <c r="B78" s="6">
        <v>1001</v>
      </c>
      <c r="C78" s="7">
        <v>45296</v>
      </c>
      <c r="D78" s="6" t="s">
        <v>9</v>
      </c>
      <c r="E78" s="6" t="s">
        <v>14</v>
      </c>
      <c r="F78" s="6" t="s">
        <v>11</v>
      </c>
      <c r="G78" s="6" t="s">
        <v>12</v>
      </c>
      <c r="H78" s="6">
        <v>2</v>
      </c>
      <c r="I78" s="6">
        <v>50000</v>
      </c>
      <c r="J78" s="6">
        <v>100000</v>
      </c>
    </row>
    <row r="79" spans="2:17" x14ac:dyDescent="0.3">
      <c r="B79" s="6">
        <v>1002</v>
      </c>
      <c r="C79" s="7">
        <v>45299</v>
      </c>
      <c r="D79" s="6" t="s">
        <v>13</v>
      </c>
      <c r="E79" s="6" t="s">
        <v>14</v>
      </c>
      <c r="F79" s="6" t="s">
        <v>15</v>
      </c>
      <c r="G79" s="6" t="s">
        <v>12</v>
      </c>
      <c r="H79" s="6">
        <v>5</v>
      </c>
      <c r="I79" s="6">
        <v>20000</v>
      </c>
      <c r="J79" s="6">
        <v>100000</v>
      </c>
    </row>
    <row r="80" spans="2:17" x14ac:dyDescent="0.3">
      <c r="B80" s="6">
        <v>1003</v>
      </c>
      <c r="C80" s="7">
        <v>45303</v>
      </c>
      <c r="D80" s="6" t="s">
        <v>16</v>
      </c>
      <c r="E80" s="6" t="s">
        <v>17</v>
      </c>
      <c r="F80" s="6" t="s">
        <v>18</v>
      </c>
      <c r="G80" s="6" t="s">
        <v>19</v>
      </c>
      <c r="H80" s="6">
        <v>10</v>
      </c>
      <c r="I80" s="6">
        <v>3000</v>
      </c>
      <c r="J80" s="6">
        <v>30000</v>
      </c>
    </row>
    <row r="81" spans="2:10" x14ac:dyDescent="0.3">
      <c r="B81" s="6">
        <v>1004</v>
      </c>
      <c r="C81" s="7">
        <v>45306</v>
      </c>
      <c r="D81" s="6" t="s">
        <v>20</v>
      </c>
      <c r="E81" s="6" t="s">
        <v>21</v>
      </c>
      <c r="F81" s="6" t="s">
        <v>22</v>
      </c>
      <c r="G81" s="6" t="s">
        <v>19</v>
      </c>
      <c r="H81" s="6">
        <v>3</v>
      </c>
      <c r="I81" s="6">
        <v>7000</v>
      </c>
      <c r="J81" s="6">
        <v>21000</v>
      </c>
    </row>
    <row r="82" spans="2:10" x14ac:dyDescent="0.3">
      <c r="B82" s="6">
        <v>1005</v>
      </c>
      <c r="C82" s="7">
        <v>45309</v>
      </c>
      <c r="D82" s="6" t="s">
        <v>9</v>
      </c>
      <c r="E82" s="6" t="s">
        <v>10</v>
      </c>
      <c r="F82" s="6" t="s">
        <v>15</v>
      </c>
      <c r="G82" s="6" t="s">
        <v>12</v>
      </c>
      <c r="H82" s="6">
        <v>4</v>
      </c>
      <c r="I82" s="6">
        <v>20000</v>
      </c>
      <c r="J82" s="6">
        <v>80000</v>
      </c>
    </row>
    <row r="83" spans="2:10" x14ac:dyDescent="0.3">
      <c r="B83" s="6">
        <v>1006</v>
      </c>
      <c r="C83" s="7">
        <v>45311</v>
      </c>
      <c r="D83" s="6" t="s">
        <v>13</v>
      </c>
      <c r="E83" s="6" t="s">
        <v>14</v>
      </c>
      <c r="F83" s="6" t="s">
        <v>11</v>
      </c>
      <c r="G83" s="6" t="s">
        <v>12</v>
      </c>
      <c r="H83" s="6">
        <v>1</v>
      </c>
      <c r="I83" s="6">
        <v>50000</v>
      </c>
      <c r="J83" s="6">
        <v>50000</v>
      </c>
    </row>
    <row r="84" spans="2:10" x14ac:dyDescent="0.3">
      <c r="B84" s="6">
        <v>1007</v>
      </c>
      <c r="C84" s="7">
        <v>45316</v>
      </c>
      <c r="D84" s="6" t="s">
        <v>16</v>
      </c>
      <c r="E84" s="6" t="s">
        <v>10</v>
      </c>
      <c r="F84" s="6" t="s">
        <v>23</v>
      </c>
      <c r="G84" s="6" t="s">
        <v>19</v>
      </c>
      <c r="H84" s="6">
        <v>2</v>
      </c>
      <c r="I84" s="6">
        <v>10000</v>
      </c>
      <c r="J84" s="6">
        <v>20000</v>
      </c>
    </row>
    <row r="85" spans="2:10" x14ac:dyDescent="0.3">
      <c r="B85" s="6">
        <v>1008</v>
      </c>
      <c r="C85" s="7">
        <v>45319</v>
      </c>
      <c r="D85" s="6" t="s">
        <v>20</v>
      </c>
      <c r="E85" s="6" t="s">
        <v>17</v>
      </c>
      <c r="F85" s="6" t="s">
        <v>15</v>
      </c>
      <c r="G85" s="6" t="s">
        <v>12</v>
      </c>
      <c r="H85" s="6">
        <v>6</v>
      </c>
      <c r="I85" s="6">
        <v>20000</v>
      </c>
      <c r="J85" s="6">
        <v>120000</v>
      </c>
    </row>
    <row r="86" spans="2:10" x14ac:dyDescent="0.3">
      <c r="B86" s="6">
        <v>1009</v>
      </c>
      <c r="C86" s="7">
        <v>45324</v>
      </c>
      <c r="D86" s="6" t="s">
        <v>9</v>
      </c>
      <c r="E86" s="6" t="s">
        <v>10</v>
      </c>
      <c r="F86" s="6" t="s">
        <v>22</v>
      </c>
      <c r="G86" s="6" t="s">
        <v>19</v>
      </c>
      <c r="H86" s="6">
        <v>5</v>
      </c>
      <c r="I86" s="6">
        <v>7000</v>
      </c>
      <c r="J86" s="6">
        <v>35000</v>
      </c>
    </row>
    <row r="87" spans="2:10" x14ac:dyDescent="0.3">
      <c r="B87" s="6">
        <v>1010</v>
      </c>
      <c r="C87" s="7">
        <v>45327</v>
      </c>
      <c r="D87" s="6" t="s">
        <v>13</v>
      </c>
      <c r="E87" s="6" t="s">
        <v>14</v>
      </c>
      <c r="F87" s="6" t="s">
        <v>18</v>
      </c>
      <c r="G87" s="6" t="s">
        <v>19</v>
      </c>
      <c r="H87" s="6">
        <v>7</v>
      </c>
      <c r="I87" s="6">
        <v>3000</v>
      </c>
      <c r="J87" s="6">
        <v>21000</v>
      </c>
    </row>
  </sheetData>
  <autoFilter ref="J28:R38" xr:uid="{807B6149-8E81-489F-91E3-C4CF917A52EE}">
    <filterColumn colId="3">
      <filters>
        <filter val="Amit"/>
      </filters>
    </filterColumn>
    <filterColumn colId="5">
      <filters>
        <filter val="Electronics"/>
      </filters>
    </filterColumn>
  </autoFilter>
  <sortState xmlns:xlrd2="http://schemas.microsoft.com/office/spreadsheetml/2017/richdata2" ref="K3:S12">
    <sortCondition descending="1" ref="S3:S12"/>
  </sortState>
  <mergeCells count="48">
    <mergeCell ref="U9:AE9"/>
    <mergeCell ref="A39:E39"/>
    <mergeCell ref="I42:Q42"/>
    <mergeCell ref="A53:E53"/>
    <mergeCell ref="A54:E54"/>
    <mergeCell ref="A45:E45"/>
    <mergeCell ref="Q59:S59"/>
    <mergeCell ref="Q61:S61"/>
    <mergeCell ref="R55:S55"/>
    <mergeCell ref="R56:S56"/>
    <mergeCell ref="R54:S54"/>
    <mergeCell ref="O70:P70"/>
    <mergeCell ref="Q70:Q71"/>
    <mergeCell ref="Q62:R62"/>
    <mergeCell ref="S62:S63"/>
    <mergeCell ref="Q60:S60"/>
    <mergeCell ref="B76:J76"/>
    <mergeCell ref="M55:P55"/>
    <mergeCell ref="I60:J60"/>
    <mergeCell ref="I64:J64"/>
    <mergeCell ref="M64:N64"/>
    <mergeCell ref="O69:Q69"/>
    <mergeCell ref="A55:E55"/>
    <mergeCell ref="A56:E56"/>
    <mergeCell ref="A57:E57"/>
    <mergeCell ref="Q58:S58"/>
    <mergeCell ref="N65:N66"/>
    <mergeCell ref="I71:J71"/>
    <mergeCell ref="K71:K72"/>
    <mergeCell ref="J65:J66"/>
    <mergeCell ref="J61:J62"/>
    <mergeCell ref="O68:Q68"/>
    <mergeCell ref="A1:I1"/>
    <mergeCell ref="K1:S1"/>
    <mergeCell ref="C15:I15"/>
    <mergeCell ref="J27:R27"/>
    <mergeCell ref="A52:E52"/>
    <mergeCell ref="A46:E46"/>
    <mergeCell ref="A47:E47"/>
    <mergeCell ref="A48:E48"/>
    <mergeCell ref="A49:E49"/>
    <mergeCell ref="A50:E50"/>
    <mergeCell ref="A51:E51"/>
    <mergeCell ref="A40:E40"/>
    <mergeCell ref="A41:E41"/>
    <mergeCell ref="A42:E42"/>
    <mergeCell ref="A43:E43"/>
    <mergeCell ref="A44:E44"/>
  </mergeCells>
  <conditionalFormatting sqref="H78:H87">
    <cfRule type="cellIs" dxfId="1" priority="3" operator="lessThan">
      <formula>3</formula>
    </cfRule>
  </conditionalFormatting>
  <conditionalFormatting sqref="J78:J87">
    <cfRule type="cellIs" dxfId="0" priority="4" operator="greaterThanOrEqual">
      <formula>100000</formula>
    </cfRule>
  </conditionalFormatting>
  <conditionalFormatting sqref="S2:S12">
    <cfRule type="colorScale" priority="2">
      <colorScale>
        <cfvo type="min"/>
        <cfvo type="max"/>
        <color rgb="FFFF99FF"/>
        <color rgb="FFFFEF9C"/>
      </colorScale>
    </cfRule>
  </conditionalFormatting>
  <conditionalFormatting sqref="S3:S12">
    <cfRule type="colorScale" priority="1">
      <colorScale>
        <cfvo type="min"/>
        <cfvo type="max"/>
        <color rgb="FFFCFCFF"/>
        <color rgb="FF00FFFF"/>
      </colorScale>
    </cfRule>
  </conditionalFormatting>
  <dataValidations count="4">
    <dataValidation type="list" allowBlank="1" showInputMessage="1" showErrorMessage="1" sqref="J58" xr:uid="{945664AB-DDBF-4B44-BBD5-E1C65BE2BF72}">
      <formula1>$N$56:$N$60</formula1>
    </dataValidation>
    <dataValidation type="list" allowBlank="1" showInputMessage="1" showErrorMessage="1" sqref="I58 I63 I67 I73" xr:uid="{1023E3CB-66BE-4F7F-849E-EB869DF09900}">
      <formula1>$M$56:$M$57</formula1>
    </dataValidation>
    <dataValidation type="list" allowBlank="1" showInputMessage="1" showErrorMessage="1" sqref="P72 J73" xr:uid="{EA8DA999-BE27-4FE6-9CF4-66C8834619D6}">
      <formula1>$P$56:$P$59</formula1>
    </dataValidation>
    <dataValidation type="list" allowBlank="1" showInputMessage="1" showErrorMessage="1" sqref="O72 M67" xr:uid="{AF609E9D-3726-416A-9150-AC8CC2E3AD59}">
      <formula1>$O$56:$O$59</formula1>
    </dataValidation>
  </dataValidations>
  <pageMargins left="0.7" right="0.7" top="0.75" bottom="0.75" header="0.3" footer="0.3"/>
  <pageSetup orientation="portrait" r:id="rId1"/>
  <ignoredErrors>
    <ignoredError sqref="AD11:AD20 AD21:AD22 AE19:AE20 AE12:AE18 AE21" formulaRange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amrita majumdar</cp:lastModifiedBy>
  <dcterms:created xsi:type="dcterms:W3CDTF">2026-03-04T02:35:16Z</dcterms:created>
  <dcterms:modified xsi:type="dcterms:W3CDTF">2026-03-04T17:41:49Z</dcterms:modified>
</cp:coreProperties>
</file>