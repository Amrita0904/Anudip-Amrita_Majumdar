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ocuments/"/>
    </mc:Choice>
  </mc:AlternateContent>
  <xr:revisionPtr revIDLastSave="0" documentId="8_{A7BA6045-897F-4FC5-8A67-3E875E20532B}" xr6:coauthVersionLast="47" xr6:coauthVersionMax="47" xr10:uidLastSave="{00000000-0000-0000-0000-000000000000}"/>
  <bookViews>
    <workbookView xWindow="-108" yWindow="-108" windowWidth="23256" windowHeight="12456" xr2:uid="{393B698C-3C82-4C90-A273-05318D8AF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" i="1" l="1"/>
  <c r="P44" i="1"/>
  <c r="Q39" i="1"/>
  <c r="P30" i="1"/>
  <c r="P26" i="1"/>
  <c r="Q15" i="1" a="1"/>
  <c r="Q15" i="1" s="1"/>
  <c r="P11" i="1" a="1"/>
  <c r="P11" i="1" s="1"/>
  <c r="P7" i="1" a="1"/>
  <c r="P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<sst xmlns="http://schemas.openxmlformats.org/spreadsheetml/2006/main" count="633" uniqueCount="151">
  <si>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</si>
  <si>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</si>
  <si>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</si>
  <si>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</si>
  <si>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</si>
  <si>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</si>
  <si>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</si>
  <si>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</si>
  <si>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</si>
  <si>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</si>
  <si>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</si>
  <si>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</si>
  <si>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</si>
  <si>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</si>
  <si>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</si>
  <si>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</si>
  <si>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</si>
  <si>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</si>
  <si>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</si>
  <si>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</si>
  <si>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</si>
  <si>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</si>
  <si>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</si>
  <si>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</si>
  <si>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</si>
  <si>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</si>
  <si>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</si>
  <si>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</si>
  <si>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</si>
  <si>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</si>
  <si>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</si>
  <si>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</si>
  <si>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</si>
  <si>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</si>
  <si>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</si>
  <si>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</si>
  <si>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</si>
  <si>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</si>
  <si>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</si>
  <si>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</si>
  <si>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</si>
  <si>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</si>
  <si>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</si>
  <si>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</si>
  <si>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</si>
  <si>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</si>
  <si>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</si>
  <si>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</si>
  <si>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</si>
  <si>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</si>
  <si>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</si>
  <si>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</si>
  <si>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</si>
  <si>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</si>
  <si>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</si>
  <si>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</si>
  <si>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</si>
  <si>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</si>
  <si>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</si>
  <si>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</si>
  <si>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</si>
  <si>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</si>
  <si>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</si>
  <si>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</si>
  <si>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</si>
  <si>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</si>
  <si>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</si>
  <si>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</si>
  <si>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</si>
  <si>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</si>
  <si>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</si>
  <si>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</si>
  <si>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</si>
  <si>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</si>
  <si>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</si>
  <si>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</si>
  <si>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</si>
  <si>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</si>
  <si>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</si>
  <si>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</si>
  <si>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</si>
  <si>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</si>
  <si>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</si>
  <si>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</si>
  <si>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</si>
  <si>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</si>
  <si>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</si>
  <si>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</si>
  <si>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</si>
  <si>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</si>
  <si>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</si>
  <si>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</si>
  <si>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</si>
  <si>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</si>
  <si>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</si>
  <si>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</si>
  <si>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</si>
  <si>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</si>
  <si>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</si>
  <si>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</si>
  <si>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</si>
  <si>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</si>
  <si>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</si>
  <si>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</si>
  <si>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</si>
  <si>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</si>
  <si>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</si>
  <si>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</si>
  <si>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</si>
  <si>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</si>
  <si>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</si>
  <si>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</si>
  <si>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</si>
  <si>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</si>
  <si>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</si>
  <si>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</si>
  <si>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</si>
  <si>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</si>
  <si>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</si>
  <si>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</si>
  <si>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</si>
  <si>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</si>
  <si>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</si>
  <si>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</si>
  <si>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</si>
  <si>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</si>
  <si>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</si>
  <si>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</si>
  <si>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</si>
  <si>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</si>
  <si>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</si>
  <si>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</si>
  <si>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</si>
  <si>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</si>
  <si>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</si>
  <si>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</si>
  <si>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</si>
  <si>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</si>
  <si>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</si>
  <si>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</si>
  <si>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</si>
  <si>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</si>
  <si>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Serial No.</t>
  </si>
  <si>
    <t>Value</t>
  </si>
  <si>
    <t>Index</t>
  </si>
  <si>
    <t>Column No.</t>
  </si>
  <si>
    <t>Row No.</t>
  </si>
  <si>
    <t>value</t>
  </si>
  <si>
    <t>Position</t>
  </si>
  <si>
    <t>Match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</si>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</sst>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Border="1" applyAlignment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0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9FF99"/>
      <color rgb="FFCC66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B2CF-6254-4149-92D2-0FDDBF5EB4EF}">
  <dimension ref="A1:R101"/>
  <sheetViews>
    <sheetView tabSelected="1" topLeftCell="B10" zoomScale="84" workbookViewId="0">
      <selection activeCell="T34" sqref="T34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14.6640625" bestFit="1" customWidth="1"/>
    <col min="4" max="4" width="6.77734375" bestFit="1" customWidth="1"/>
    <col min="5" max="5" width="13.109375" bestFit="1" customWidth="1"/>
    <col min="6" max="6" width="12.44140625" bestFit="1" customWidth="1"/>
    <col min="7" max="7" width="8.33203125" bestFit="1" customWidth="1"/>
    <col min="8" max="8" width="9.109375" bestFit="1" customWidth="1"/>
    <col min="9" max="9" width="8.33203125" bestFit="1" customWidth="1"/>
    <col min="10" max="10" width="9.88671875" bestFit="1" customWidth="1"/>
    <col min="11" max="11" width="8" bestFit="1" customWidth="1"/>
    <col min="12" max="12" width="14.109375" bestFit="1" customWidth="1"/>
    <col min="15" max="15" width="12.33203125" customWidth="1"/>
    <col min="16" max="16" width="11.21875" customWidth="1"/>
  </cols>
  <sheetData>
    <row r="1" spans="1:1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8" x14ac:dyDescent="0.3">
      <c r="A2" s="1" t="s">
        <v>12</v>
      </c>
      <c r="B2" s="3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17</v>
      </c>
    </row>
    <row r="3" spans="1:18" x14ac:dyDescent="0.3">
      <c r="A3" s="1" t="s">
        <v>18</v>
      </c>
      <c r="B3" s="3">
        <v>45275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1" t="s">
        <v>23</v>
      </c>
    </row>
    <row r="4" spans="1:18" ht="18" x14ac:dyDescent="0.35">
      <c r="A4" s="1" t="s">
        <v>24</v>
      </c>
      <c r="B4" s="3">
        <v>45197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1" t="s">
        <v>23</v>
      </c>
      <c r="N4" s="15" t="s">
        <v>144</v>
      </c>
      <c r="O4" s="15"/>
      <c r="P4" s="15"/>
      <c r="Q4" s="15"/>
      <c r="R4" s="15"/>
    </row>
    <row r="5" spans="1:18" x14ac:dyDescent="0.3">
      <c r="A5" s="1" t="s">
        <v>27</v>
      </c>
      <c r="B5" s="3">
        <v>45033</v>
      </c>
      <c r="C5" s="1" t="s">
        <v>28</v>
      </c>
      <c r="D5" s="1" t="s">
        <v>14</v>
      </c>
      <c r="E5" s="1" t="s">
        <v>15</v>
      </c>
      <c r="F5" s="1" t="s">
        <v>29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1" t="s">
        <v>30</v>
      </c>
      <c r="N5" s="5"/>
      <c r="O5" s="4"/>
      <c r="P5" s="4"/>
      <c r="Q5" s="7"/>
      <c r="R5" s="6"/>
    </row>
    <row r="6" spans="1:18" x14ac:dyDescent="0.3">
      <c r="A6" s="1" t="s">
        <v>31</v>
      </c>
      <c r="B6" s="3">
        <v>44998</v>
      </c>
      <c r="C6" s="1" t="s">
        <v>13</v>
      </c>
      <c r="D6" s="1" t="s">
        <v>20</v>
      </c>
      <c r="E6" s="1" t="s">
        <v>25</v>
      </c>
      <c r="F6" s="1" t="s">
        <v>26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1" t="s">
        <v>17</v>
      </c>
      <c r="N6" s="5"/>
      <c r="O6" s="12" t="s">
        <v>142</v>
      </c>
      <c r="P6" s="13" t="s">
        <v>143</v>
      </c>
      <c r="Q6" s="7"/>
      <c r="R6" s="6"/>
    </row>
    <row r="7" spans="1:18" x14ac:dyDescent="0.3">
      <c r="A7" s="1" t="s">
        <v>32</v>
      </c>
      <c r="B7" s="3">
        <v>45115</v>
      </c>
      <c r="C7" s="1" t="s">
        <v>33</v>
      </c>
      <c r="D7" s="1" t="s">
        <v>14</v>
      </c>
      <c r="E7" s="1" t="s">
        <v>25</v>
      </c>
      <c r="F7" s="1" t="s">
        <v>26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1" t="s">
        <v>34</v>
      </c>
      <c r="N7" s="5"/>
      <c r="O7" s="1">
        <v>10</v>
      </c>
      <c r="P7" s="2" t="str" cm="1">
        <f t="array" ref="P7">INDEX(A1:A101,O7)</f>
        <v>ORD-1008</v>
      </c>
      <c r="Q7" s="7"/>
      <c r="R7" s="6"/>
    </row>
    <row r="8" spans="1:18" x14ac:dyDescent="0.3">
      <c r="A8" s="1" t="s">
        <v>35</v>
      </c>
      <c r="B8" s="3">
        <v>44947</v>
      </c>
      <c r="C8" s="1" t="s">
        <v>36</v>
      </c>
      <c r="D8" s="1" t="s">
        <v>14</v>
      </c>
      <c r="E8" s="1" t="s">
        <v>21</v>
      </c>
      <c r="F8" s="1" t="s">
        <v>22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1" t="s">
        <v>23</v>
      </c>
      <c r="N8" s="5"/>
      <c r="O8" s="7"/>
      <c r="P8" s="7"/>
      <c r="Q8" s="7"/>
      <c r="R8" s="6"/>
    </row>
    <row r="9" spans="1:18" x14ac:dyDescent="0.3">
      <c r="A9" s="1" t="s">
        <v>37</v>
      </c>
      <c r="B9" s="3">
        <v>45029</v>
      </c>
      <c r="C9" s="1" t="s">
        <v>38</v>
      </c>
      <c r="D9" s="1" t="s">
        <v>39</v>
      </c>
      <c r="E9" s="1" t="s">
        <v>15</v>
      </c>
      <c r="F9" s="1" t="s">
        <v>40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1" t="s">
        <v>34</v>
      </c>
      <c r="N9" s="5"/>
      <c r="O9" s="7"/>
      <c r="P9" s="7"/>
      <c r="Q9" s="7"/>
      <c r="R9" s="6"/>
    </row>
    <row r="10" spans="1:18" x14ac:dyDescent="0.3">
      <c r="A10" s="1" t="s">
        <v>41</v>
      </c>
      <c r="B10" s="3">
        <v>45048</v>
      </c>
      <c r="C10" s="1" t="s">
        <v>13</v>
      </c>
      <c r="D10" s="1" t="s">
        <v>42</v>
      </c>
      <c r="E10" s="1" t="s">
        <v>25</v>
      </c>
      <c r="F10" s="1" t="s">
        <v>26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1" t="s">
        <v>17</v>
      </c>
      <c r="N10" s="5"/>
      <c r="O10" s="12" t="s">
        <v>145</v>
      </c>
      <c r="P10" s="13" t="s">
        <v>143</v>
      </c>
      <c r="Q10" s="7"/>
      <c r="R10" s="6"/>
    </row>
    <row r="11" spans="1:18" x14ac:dyDescent="0.3">
      <c r="A11" s="1" t="s">
        <v>43</v>
      </c>
      <c r="B11" s="3">
        <v>45141</v>
      </c>
      <c r="C11" s="1" t="s">
        <v>44</v>
      </c>
      <c r="D11" s="1" t="s">
        <v>14</v>
      </c>
      <c r="E11" s="1" t="s">
        <v>21</v>
      </c>
      <c r="F11" s="1" t="s">
        <v>45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1" t="s">
        <v>30</v>
      </c>
      <c r="N11" s="5"/>
      <c r="O11" s="1">
        <v>4</v>
      </c>
      <c r="P11" s="2" t="str" cm="1">
        <f t="array" ref="P11">INDEX(A1:L1,,O11)</f>
        <v>Region</v>
      </c>
      <c r="Q11" s="7"/>
      <c r="R11" s="6"/>
    </row>
    <row r="12" spans="1:18" x14ac:dyDescent="0.3">
      <c r="A12" s="1" t="s">
        <v>46</v>
      </c>
      <c r="B12" s="3">
        <v>45257</v>
      </c>
      <c r="C12" s="1" t="s">
        <v>44</v>
      </c>
      <c r="D12" s="1" t="s">
        <v>20</v>
      </c>
      <c r="E12" s="1" t="s">
        <v>21</v>
      </c>
      <c r="F12" s="1" t="s">
        <v>45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1" t="s">
        <v>34</v>
      </c>
      <c r="N12" s="5"/>
      <c r="O12" s="7"/>
      <c r="P12" s="7"/>
      <c r="Q12" s="7"/>
      <c r="R12" s="6"/>
    </row>
    <row r="13" spans="1:18" x14ac:dyDescent="0.3">
      <c r="A13" s="1" t="s">
        <v>47</v>
      </c>
      <c r="B13" s="3">
        <v>45014</v>
      </c>
      <c r="C13" s="1" t="s">
        <v>33</v>
      </c>
      <c r="D13" s="1" t="s">
        <v>42</v>
      </c>
      <c r="E13" s="1" t="s">
        <v>21</v>
      </c>
      <c r="F13" s="1" t="s">
        <v>48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1" t="s">
        <v>30</v>
      </c>
      <c r="N13" s="5"/>
      <c r="O13" s="7"/>
      <c r="P13" s="7"/>
      <c r="Q13" s="7"/>
      <c r="R13" s="6"/>
    </row>
    <row r="14" spans="1:18" x14ac:dyDescent="0.3">
      <c r="A14" s="1" t="s">
        <v>49</v>
      </c>
      <c r="B14" s="3">
        <v>45026</v>
      </c>
      <c r="C14" s="1" t="s">
        <v>44</v>
      </c>
      <c r="D14" s="1" t="s">
        <v>20</v>
      </c>
      <c r="E14" s="1" t="s">
        <v>21</v>
      </c>
      <c r="F14" s="1" t="s">
        <v>48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1" t="s">
        <v>23</v>
      </c>
      <c r="N14" s="5"/>
      <c r="O14" s="12" t="s">
        <v>146</v>
      </c>
      <c r="P14" s="12" t="s">
        <v>145</v>
      </c>
      <c r="Q14" s="13" t="s">
        <v>147</v>
      </c>
      <c r="R14" s="6"/>
    </row>
    <row r="15" spans="1:18" x14ac:dyDescent="0.3">
      <c r="A15" s="1" t="s">
        <v>50</v>
      </c>
      <c r="B15" s="3">
        <v>45286</v>
      </c>
      <c r="C15" s="1" t="s">
        <v>51</v>
      </c>
      <c r="D15" s="1" t="s">
        <v>39</v>
      </c>
      <c r="E15" s="1" t="s">
        <v>25</v>
      </c>
      <c r="F15" s="1" t="s">
        <v>52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1" t="s">
        <v>34</v>
      </c>
      <c r="N15" s="5"/>
      <c r="O15" s="14">
        <v>4</v>
      </c>
      <c r="P15" s="14">
        <v>5</v>
      </c>
      <c r="Q15" s="2" t="str" cm="1">
        <f t="array" ref="Q15">INDEX(A1:L101,O15,P15)</f>
        <v>Furniture</v>
      </c>
      <c r="R15" s="6"/>
    </row>
    <row r="16" spans="1:18" x14ac:dyDescent="0.3">
      <c r="A16" s="1" t="s">
        <v>53</v>
      </c>
      <c r="B16" s="3">
        <v>45078</v>
      </c>
      <c r="C16" s="1" t="s">
        <v>36</v>
      </c>
      <c r="D16" s="1" t="s">
        <v>39</v>
      </c>
      <c r="E16" s="1" t="s">
        <v>15</v>
      </c>
      <c r="F16" s="1" t="s">
        <v>16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1" t="s">
        <v>17</v>
      </c>
      <c r="N16" s="5"/>
      <c r="O16" s="7"/>
      <c r="P16" s="7"/>
      <c r="Q16" s="7"/>
      <c r="R16" s="6"/>
    </row>
    <row r="17" spans="1:18" x14ac:dyDescent="0.3">
      <c r="A17" s="1" t="s">
        <v>54</v>
      </c>
      <c r="B17" s="3">
        <v>45057</v>
      </c>
      <c r="C17" s="1" t="s">
        <v>38</v>
      </c>
      <c r="D17" s="1" t="s">
        <v>42</v>
      </c>
      <c r="E17" s="1" t="s">
        <v>25</v>
      </c>
      <c r="F17" s="1" t="s">
        <v>55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1" t="s">
        <v>23</v>
      </c>
      <c r="N17" s="8"/>
      <c r="O17" s="9"/>
      <c r="P17" s="9"/>
      <c r="Q17" s="9"/>
      <c r="R17" s="10"/>
    </row>
    <row r="18" spans="1:18" x14ac:dyDescent="0.3">
      <c r="A18" s="1" t="s">
        <v>56</v>
      </c>
      <c r="B18" s="3">
        <v>45076</v>
      </c>
      <c r="C18" s="1" t="s">
        <v>36</v>
      </c>
      <c r="D18" s="1" t="s">
        <v>39</v>
      </c>
      <c r="E18" s="1" t="s">
        <v>15</v>
      </c>
      <c r="F18" s="1" t="s">
        <v>16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1" t="s">
        <v>34</v>
      </c>
    </row>
    <row r="19" spans="1:18" x14ac:dyDescent="0.3">
      <c r="A19" s="1" t="s">
        <v>57</v>
      </c>
      <c r="B19" s="3">
        <v>45235</v>
      </c>
      <c r="C19" s="1" t="s">
        <v>38</v>
      </c>
      <c r="D19" s="1" t="s">
        <v>20</v>
      </c>
      <c r="E19" s="1" t="s">
        <v>21</v>
      </c>
      <c r="F19" s="1" t="s">
        <v>22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1" t="s">
        <v>17</v>
      </c>
    </row>
    <row r="20" spans="1:18" x14ac:dyDescent="0.3">
      <c r="A20" s="1" t="s">
        <v>58</v>
      </c>
      <c r="B20" s="3">
        <v>45184</v>
      </c>
      <c r="C20" s="1" t="s">
        <v>59</v>
      </c>
      <c r="D20" s="1" t="s">
        <v>39</v>
      </c>
      <c r="E20" s="1" t="s">
        <v>15</v>
      </c>
      <c r="F20" s="1" t="s">
        <v>40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1" t="s">
        <v>23</v>
      </c>
    </row>
    <row r="21" spans="1:18" x14ac:dyDescent="0.3">
      <c r="A21" s="1" t="s">
        <v>60</v>
      </c>
      <c r="B21" s="3">
        <v>45270</v>
      </c>
      <c r="C21" s="1" t="s">
        <v>33</v>
      </c>
      <c r="D21" s="1" t="s">
        <v>14</v>
      </c>
      <c r="E21" s="1" t="s">
        <v>21</v>
      </c>
      <c r="F21" s="1" t="s">
        <v>45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1" t="s">
        <v>23</v>
      </c>
    </row>
    <row r="22" spans="1:18" x14ac:dyDescent="0.3">
      <c r="A22" s="1" t="s">
        <v>61</v>
      </c>
      <c r="B22" s="3">
        <v>45220</v>
      </c>
      <c r="C22" s="1" t="s">
        <v>13</v>
      </c>
      <c r="D22" s="1" t="s">
        <v>39</v>
      </c>
      <c r="E22" s="1" t="s">
        <v>15</v>
      </c>
      <c r="F22" s="1" t="s">
        <v>29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1" t="s">
        <v>30</v>
      </c>
    </row>
    <row r="23" spans="1:18" ht="21" x14ac:dyDescent="0.4">
      <c r="A23" s="1" t="s">
        <v>62</v>
      </c>
      <c r="B23" s="3">
        <v>45118</v>
      </c>
      <c r="C23" s="1" t="s">
        <v>51</v>
      </c>
      <c r="D23" s="1" t="s">
        <v>20</v>
      </c>
      <c r="E23" s="1" t="s">
        <v>15</v>
      </c>
      <c r="F23" s="1" t="s">
        <v>16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1" t="s">
        <v>23</v>
      </c>
      <c r="N23" s="21" t="s">
        <v>149</v>
      </c>
      <c r="O23" s="17"/>
      <c r="P23" s="17"/>
      <c r="Q23" s="17"/>
      <c r="R23" s="17"/>
    </row>
    <row r="24" spans="1:18" x14ac:dyDescent="0.3">
      <c r="A24" s="1" t="s">
        <v>63</v>
      </c>
      <c r="B24" s="3">
        <v>45203</v>
      </c>
      <c r="C24" s="1" t="s">
        <v>33</v>
      </c>
      <c r="D24" s="1" t="s">
        <v>42</v>
      </c>
      <c r="E24" s="1" t="s">
        <v>21</v>
      </c>
      <c r="F24" s="1" t="s">
        <v>48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1" t="s">
        <v>23</v>
      </c>
      <c r="N24" s="5"/>
      <c r="O24" s="7"/>
      <c r="P24" s="7"/>
      <c r="Q24" s="7"/>
      <c r="R24" s="6"/>
    </row>
    <row r="25" spans="1:18" x14ac:dyDescent="0.3">
      <c r="A25" s="1" t="s">
        <v>64</v>
      </c>
      <c r="B25" s="3">
        <v>45087</v>
      </c>
      <c r="C25" s="1" t="s">
        <v>36</v>
      </c>
      <c r="D25" s="1" t="s">
        <v>20</v>
      </c>
      <c r="E25" s="1" t="s">
        <v>25</v>
      </c>
      <c r="F25" s="1" t="s">
        <v>26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1" t="s">
        <v>30</v>
      </c>
      <c r="N25" s="5"/>
      <c r="O25" s="12" t="s">
        <v>143</v>
      </c>
      <c r="P25" s="13" t="s">
        <v>148</v>
      </c>
      <c r="Q25" s="7"/>
      <c r="R25" s="6"/>
    </row>
    <row r="26" spans="1:18" x14ac:dyDescent="0.3">
      <c r="A26" s="1" t="s">
        <v>65</v>
      </c>
      <c r="B26" s="3">
        <v>45240</v>
      </c>
      <c r="C26" s="1" t="s">
        <v>59</v>
      </c>
      <c r="D26" s="1" t="s">
        <v>42</v>
      </c>
      <c r="E26" s="1" t="s">
        <v>25</v>
      </c>
      <c r="F26" s="1" t="s">
        <v>55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1" t="s">
        <v>34</v>
      </c>
      <c r="N26" s="5"/>
      <c r="O26" s="16" t="s">
        <v>6</v>
      </c>
      <c r="P26" s="2">
        <f>MATCH(O26,A1:L1,0)</f>
        <v>7</v>
      </c>
      <c r="Q26" s="7"/>
      <c r="R26" s="6"/>
    </row>
    <row r="27" spans="1:18" x14ac:dyDescent="0.3">
      <c r="A27" s="1" t="s">
        <v>66</v>
      </c>
      <c r="B27" s="3">
        <v>44948</v>
      </c>
      <c r="C27" s="1" t="s">
        <v>13</v>
      </c>
      <c r="D27" s="1" t="s">
        <v>39</v>
      </c>
      <c r="E27" s="1" t="s">
        <v>21</v>
      </c>
      <c r="F27" s="1" t="s">
        <v>22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1" t="s">
        <v>17</v>
      </c>
      <c r="N27" s="5"/>
      <c r="O27" s="7"/>
      <c r="P27" s="7"/>
      <c r="Q27" s="7"/>
      <c r="R27" s="6"/>
    </row>
    <row r="28" spans="1:18" x14ac:dyDescent="0.3">
      <c r="A28" s="1" t="s">
        <v>67</v>
      </c>
      <c r="B28" s="3">
        <v>45179</v>
      </c>
      <c r="C28" s="1" t="s">
        <v>59</v>
      </c>
      <c r="D28" s="1" t="s">
        <v>14</v>
      </c>
      <c r="E28" s="1" t="s">
        <v>25</v>
      </c>
      <c r="F28" s="1" t="s">
        <v>26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1" t="s">
        <v>30</v>
      </c>
      <c r="N28" s="5"/>
      <c r="O28" s="7"/>
      <c r="P28" s="7"/>
      <c r="Q28" s="7"/>
      <c r="R28" s="6"/>
    </row>
    <row r="29" spans="1:18" x14ac:dyDescent="0.3">
      <c r="A29" s="1" t="s">
        <v>68</v>
      </c>
      <c r="B29" s="3">
        <v>45162</v>
      </c>
      <c r="C29" s="1" t="s">
        <v>28</v>
      </c>
      <c r="D29" s="1" t="s">
        <v>42</v>
      </c>
      <c r="E29" s="1" t="s">
        <v>15</v>
      </c>
      <c r="F29" s="1" t="s">
        <v>40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1" t="s">
        <v>30</v>
      </c>
      <c r="N29" s="5"/>
      <c r="O29" s="18" t="s">
        <v>0</v>
      </c>
      <c r="P29" s="13" t="s">
        <v>148</v>
      </c>
      <c r="Q29" s="7"/>
      <c r="R29" s="6"/>
    </row>
    <row r="30" spans="1:18" x14ac:dyDescent="0.3">
      <c r="A30" s="1" t="s">
        <v>69</v>
      </c>
      <c r="B30" s="3">
        <v>45271</v>
      </c>
      <c r="C30" s="1" t="s">
        <v>28</v>
      </c>
      <c r="D30" s="1" t="s">
        <v>20</v>
      </c>
      <c r="E30" s="1" t="s">
        <v>25</v>
      </c>
      <c r="F30" s="1" t="s">
        <v>55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1" t="s">
        <v>23</v>
      </c>
      <c r="N30" s="5"/>
      <c r="O30" s="1" t="s">
        <v>46</v>
      </c>
      <c r="P30" s="2">
        <f>MATCH(O30,A1:A101,0)</f>
        <v>12</v>
      </c>
      <c r="Q30" s="7"/>
      <c r="R30" s="6"/>
    </row>
    <row r="31" spans="1:18" x14ac:dyDescent="0.3">
      <c r="A31" s="1" t="s">
        <v>70</v>
      </c>
      <c r="B31" s="3">
        <v>44975</v>
      </c>
      <c r="C31" s="1" t="s">
        <v>59</v>
      </c>
      <c r="D31" s="1" t="s">
        <v>39</v>
      </c>
      <c r="E31" s="1" t="s">
        <v>25</v>
      </c>
      <c r="F31" s="1" t="s">
        <v>55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1" t="s">
        <v>23</v>
      </c>
      <c r="N31" s="5"/>
      <c r="O31" s="7"/>
      <c r="P31" s="7"/>
      <c r="Q31" s="7"/>
      <c r="R31" s="6"/>
    </row>
    <row r="32" spans="1:18" x14ac:dyDescent="0.3">
      <c r="A32" s="1" t="s">
        <v>71</v>
      </c>
      <c r="B32" s="3">
        <v>44985</v>
      </c>
      <c r="C32" s="1" t="s">
        <v>19</v>
      </c>
      <c r="D32" s="1" t="s">
        <v>20</v>
      </c>
      <c r="E32" s="1" t="s">
        <v>21</v>
      </c>
      <c r="F32" s="1" t="s">
        <v>45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1" t="s">
        <v>23</v>
      </c>
      <c r="N32" s="8"/>
      <c r="O32" s="9"/>
      <c r="P32" s="9"/>
      <c r="Q32" s="9"/>
      <c r="R32" s="10"/>
    </row>
    <row r="33" spans="1:18" x14ac:dyDescent="0.3">
      <c r="A33" s="1" t="s">
        <v>72</v>
      </c>
      <c r="B33" s="3">
        <v>45096</v>
      </c>
      <c r="C33" s="1" t="s">
        <v>51</v>
      </c>
      <c r="D33" s="1" t="s">
        <v>20</v>
      </c>
      <c r="E33" s="1" t="s">
        <v>15</v>
      </c>
      <c r="F33" s="1" t="s">
        <v>29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1" t="s">
        <v>23</v>
      </c>
      <c r="Q33" s="19"/>
    </row>
    <row r="34" spans="1:18" x14ac:dyDescent="0.3">
      <c r="A34" s="1" t="s">
        <v>73</v>
      </c>
      <c r="B34" s="3">
        <v>45114</v>
      </c>
      <c r="C34" s="1" t="s">
        <v>13</v>
      </c>
      <c r="D34" s="1" t="s">
        <v>20</v>
      </c>
      <c r="E34" s="1" t="s">
        <v>15</v>
      </c>
      <c r="F34" s="1" t="s">
        <v>29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1" t="s">
        <v>30</v>
      </c>
      <c r="Q34" s="7"/>
    </row>
    <row r="35" spans="1:18" ht="21" x14ac:dyDescent="0.4">
      <c r="A35" s="1" t="s">
        <v>74</v>
      </c>
      <c r="B35" s="3">
        <v>45197</v>
      </c>
      <c r="C35" s="1" t="s">
        <v>36</v>
      </c>
      <c r="D35" s="1" t="s">
        <v>39</v>
      </c>
      <c r="E35" s="1" t="s">
        <v>21</v>
      </c>
      <c r="F35" s="1" t="s">
        <v>22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1" t="s">
        <v>34</v>
      </c>
      <c r="N35" s="21" t="s">
        <v>150</v>
      </c>
      <c r="O35" s="17"/>
      <c r="P35" s="17"/>
      <c r="Q35" s="17"/>
      <c r="R35" s="17"/>
    </row>
    <row r="36" spans="1:18" x14ac:dyDescent="0.3">
      <c r="A36" s="1" t="s">
        <v>75</v>
      </c>
      <c r="B36" s="3">
        <v>45116</v>
      </c>
      <c r="C36" s="1" t="s">
        <v>19</v>
      </c>
      <c r="D36" s="1" t="s">
        <v>14</v>
      </c>
      <c r="E36" s="1" t="s">
        <v>21</v>
      </c>
      <c r="F36" s="1" t="s">
        <v>48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1" t="s">
        <v>34</v>
      </c>
      <c r="N36" s="5"/>
      <c r="O36" s="7"/>
      <c r="P36" s="7"/>
      <c r="Q36" s="7"/>
      <c r="R36" s="6"/>
    </row>
    <row r="37" spans="1:18" x14ac:dyDescent="0.3">
      <c r="A37" s="1" t="s">
        <v>76</v>
      </c>
      <c r="B37" s="3">
        <v>45101</v>
      </c>
      <c r="C37" s="1" t="s">
        <v>28</v>
      </c>
      <c r="D37" s="1" t="s">
        <v>14</v>
      </c>
      <c r="E37" s="1" t="s">
        <v>21</v>
      </c>
      <c r="F37" s="1" t="s">
        <v>22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1" t="s">
        <v>34</v>
      </c>
      <c r="N37" s="5"/>
      <c r="O37" s="7"/>
      <c r="P37" s="7"/>
      <c r="Q37" s="7"/>
      <c r="R37" s="6"/>
    </row>
    <row r="38" spans="1:18" x14ac:dyDescent="0.3">
      <c r="A38" s="1" t="s">
        <v>77</v>
      </c>
      <c r="B38" s="3">
        <v>44977</v>
      </c>
      <c r="C38" s="1" t="s">
        <v>19</v>
      </c>
      <c r="D38" s="1" t="s">
        <v>39</v>
      </c>
      <c r="E38" s="1" t="s">
        <v>15</v>
      </c>
      <c r="F38" s="1" t="s">
        <v>40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1" t="s">
        <v>17</v>
      </c>
      <c r="N38" s="5"/>
      <c r="O38" s="18" t="s">
        <v>1</v>
      </c>
      <c r="P38" s="20" t="s">
        <v>9</v>
      </c>
      <c r="Q38" s="20" t="s">
        <v>0</v>
      </c>
      <c r="R38" s="6"/>
    </row>
    <row r="39" spans="1:18" x14ac:dyDescent="0.3">
      <c r="A39" s="1" t="s">
        <v>78</v>
      </c>
      <c r="B39" s="3">
        <v>45290</v>
      </c>
      <c r="C39" s="1" t="s">
        <v>13</v>
      </c>
      <c r="D39" s="1" t="s">
        <v>14</v>
      </c>
      <c r="E39" s="1" t="s">
        <v>25</v>
      </c>
      <c r="F39" s="1" t="s">
        <v>52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1" t="s">
        <v>34</v>
      </c>
      <c r="N39" s="5"/>
      <c r="O39" s="3">
        <v>45255</v>
      </c>
      <c r="P39" s="2">
        <f>INDEX(J1:J101,MATCH(O39,B1:B101,0))</f>
        <v>8238.2099999999991</v>
      </c>
      <c r="Q39" s="2" t="str">
        <f>INDEX(A1:A101,MATCH(O39,B1:B101,0))</f>
        <v>ORD-1045</v>
      </c>
      <c r="R39" s="6"/>
    </row>
    <row r="40" spans="1:18" x14ac:dyDescent="0.3">
      <c r="A40" s="1" t="s">
        <v>79</v>
      </c>
      <c r="B40" s="3">
        <v>44981</v>
      </c>
      <c r="C40" s="1" t="s">
        <v>28</v>
      </c>
      <c r="D40" s="1" t="s">
        <v>14</v>
      </c>
      <c r="E40" s="1" t="s">
        <v>25</v>
      </c>
      <c r="F40" s="1" t="s">
        <v>52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1" t="s">
        <v>30</v>
      </c>
      <c r="N40" s="5"/>
      <c r="O40" s="7"/>
      <c r="P40" s="7"/>
      <c r="Q40" s="7"/>
      <c r="R40" s="6"/>
    </row>
    <row r="41" spans="1:18" x14ac:dyDescent="0.3">
      <c r="A41" s="1" t="s">
        <v>80</v>
      </c>
      <c r="B41" s="3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34</v>
      </c>
      <c r="N41" s="5"/>
      <c r="O41" s="7"/>
      <c r="P41" s="7"/>
      <c r="Q41" s="7"/>
      <c r="R41" s="6"/>
    </row>
    <row r="42" spans="1:18" x14ac:dyDescent="0.3">
      <c r="A42" s="1" t="s">
        <v>81</v>
      </c>
      <c r="B42" s="3">
        <v>45246</v>
      </c>
      <c r="C42" s="1" t="s">
        <v>36</v>
      </c>
      <c r="D42" s="1" t="s">
        <v>39</v>
      </c>
      <c r="E42" s="1" t="s">
        <v>21</v>
      </c>
      <c r="F42" s="1" t="s">
        <v>45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1" t="s">
        <v>30</v>
      </c>
      <c r="N42" s="5"/>
      <c r="O42" s="7"/>
      <c r="P42" s="7"/>
      <c r="Q42" s="7"/>
      <c r="R42" s="6"/>
    </row>
    <row r="43" spans="1:18" x14ac:dyDescent="0.3">
      <c r="A43" s="1" t="s">
        <v>82</v>
      </c>
      <c r="B43" s="3">
        <v>45057</v>
      </c>
      <c r="C43" s="1" t="s">
        <v>33</v>
      </c>
      <c r="D43" s="1" t="s">
        <v>20</v>
      </c>
      <c r="E43" s="1" t="s">
        <v>15</v>
      </c>
      <c r="F43" s="1" t="s">
        <v>40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1" t="s">
        <v>30</v>
      </c>
      <c r="N43" s="5"/>
      <c r="O43" s="18" t="s">
        <v>1</v>
      </c>
      <c r="P43" s="20" t="s">
        <v>3</v>
      </c>
      <c r="Q43" s="7"/>
      <c r="R43" s="6"/>
    </row>
    <row r="44" spans="1:18" x14ac:dyDescent="0.3">
      <c r="A44" s="1" t="s">
        <v>83</v>
      </c>
      <c r="B44" s="3">
        <v>45233</v>
      </c>
      <c r="C44" s="1" t="s">
        <v>44</v>
      </c>
      <c r="D44" s="1" t="s">
        <v>39</v>
      </c>
      <c r="E44" s="1" t="s">
        <v>25</v>
      </c>
      <c r="F44" s="1" t="s">
        <v>55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1" t="s">
        <v>23</v>
      </c>
      <c r="N44" s="5"/>
      <c r="O44" s="3">
        <v>45115</v>
      </c>
      <c r="P44" s="2" t="str">
        <f>INDEX(A1:L101,MATCH(O44,B1:B101,0),MATCH(P43,A1:L1,0))</f>
        <v>South</v>
      </c>
      <c r="Q44" s="7"/>
      <c r="R44" s="6"/>
    </row>
    <row r="45" spans="1:18" x14ac:dyDescent="0.3">
      <c r="A45" s="1" t="s">
        <v>84</v>
      </c>
      <c r="B45" s="3">
        <v>45061</v>
      </c>
      <c r="C45" s="1" t="s">
        <v>44</v>
      </c>
      <c r="D45" s="1" t="s">
        <v>14</v>
      </c>
      <c r="E45" s="1" t="s">
        <v>15</v>
      </c>
      <c r="F45" s="1" t="s">
        <v>29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1" t="s">
        <v>30</v>
      </c>
      <c r="N45" s="5"/>
      <c r="O45" s="7"/>
      <c r="P45" s="7"/>
      <c r="Q45" s="7"/>
      <c r="R45" s="6"/>
    </row>
    <row r="46" spans="1:18" x14ac:dyDescent="0.3">
      <c r="A46" s="1" t="s">
        <v>85</v>
      </c>
      <c r="B46" s="3">
        <v>44947</v>
      </c>
      <c r="C46" s="1" t="s">
        <v>33</v>
      </c>
      <c r="D46" s="1" t="s">
        <v>42</v>
      </c>
      <c r="E46" s="1" t="s">
        <v>25</v>
      </c>
      <c r="F46" s="1" t="s">
        <v>52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1" t="s">
        <v>17</v>
      </c>
      <c r="N46" s="8"/>
      <c r="O46" s="9"/>
      <c r="P46" s="9"/>
      <c r="Q46" s="9"/>
      <c r="R46" s="10"/>
    </row>
    <row r="47" spans="1:18" x14ac:dyDescent="0.3">
      <c r="A47" s="1" t="s">
        <v>86</v>
      </c>
      <c r="B47" s="3">
        <v>45255</v>
      </c>
      <c r="C47" s="1" t="s">
        <v>38</v>
      </c>
      <c r="D47" s="1" t="s">
        <v>39</v>
      </c>
      <c r="E47" s="1" t="s">
        <v>25</v>
      </c>
      <c r="F47" s="1" t="s">
        <v>55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1" t="s">
        <v>30</v>
      </c>
    </row>
    <row r="48" spans="1:18" x14ac:dyDescent="0.3">
      <c r="A48" s="1" t="s">
        <v>87</v>
      </c>
      <c r="B48" s="3">
        <v>45093</v>
      </c>
      <c r="C48" s="1" t="s">
        <v>59</v>
      </c>
      <c r="D48" s="1" t="s">
        <v>20</v>
      </c>
      <c r="E48" s="1" t="s">
        <v>15</v>
      </c>
      <c r="F48" s="1" t="s">
        <v>29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1" t="s">
        <v>23</v>
      </c>
    </row>
    <row r="49" spans="1:12" x14ac:dyDescent="0.3">
      <c r="A49" s="1" t="s">
        <v>88</v>
      </c>
      <c r="B49" s="3">
        <v>45200</v>
      </c>
      <c r="C49" s="1" t="s">
        <v>44</v>
      </c>
      <c r="D49" s="1" t="s">
        <v>42</v>
      </c>
      <c r="E49" s="1" t="s">
        <v>25</v>
      </c>
      <c r="F49" s="1" t="s">
        <v>55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1" t="s">
        <v>23</v>
      </c>
    </row>
    <row r="50" spans="1:12" x14ac:dyDescent="0.3">
      <c r="A50" s="1" t="s">
        <v>89</v>
      </c>
      <c r="B50" s="3">
        <v>45015</v>
      </c>
      <c r="C50" s="1" t="s">
        <v>90</v>
      </c>
      <c r="D50" s="1" t="s">
        <v>39</v>
      </c>
      <c r="E50" s="1" t="s">
        <v>25</v>
      </c>
      <c r="F50" s="1" t="s">
        <v>52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1" t="s">
        <v>34</v>
      </c>
    </row>
    <row r="51" spans="1:12" x14ac:dyDescent="0.3">
      <c r="A51" s="1" t="s">
        <v>91</v>
      </c>
      <c r="B51" s="3">
        <v>45242</v>
      </c>
      <c r="C51" s="1" t="s">
        <v>38</v>
      </c>
      <c r="D51" s="1" t="s">
        <v>39</v>
      </c>
      <c r="E51" s="1" t="s">
        <v>15</v>
      </c>
      <c r="F51" s="1" t="s">
        <v>40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1" t="s">
        <v>17</v>
      </c>
    </row>
    <row r="52" spans="1:12" x14ac:dyDescent="0.3">
      <c r="A52" s="1" t="s">
        <v>92</v>
      </c>
      <c r="B52" s="3">
        <v>44940</v>
      </c>
      <c r="C52" s="1" t="s">
        <v>28</v>
      </c>
      <c r="D52" s="1" t="s">
        <v>20</v>
      </c>
      <c r="E52" s="1" t="s">
        <v>25</v>
      </c>
      <c r="F52" s="1" t="s">
        <v>55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1" t="s">
        <v>23</v>
      </c>
    </row>
    <row r="53" spans="1:12" x14ac:dyDescent="0.3">
      <c r="A53" s="1" t="s">
        <v>93</v>
      </c>
      <c r="B53" s="3">
        <v>45168</v>
      </c>
      <c r="C53" s="1" t="s">
        <v>33</v>
      </c>
      <c r="D53" s="1" t="s">
        <v>20</v>
      </c>
      <c r="E53" s="1" t="s">
        <v>15</v>
      </c>
      <c r="F53" s="1" t="s">
        <v>40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1" t="s">
        <v>30</v>
      </c>
    </row>
    <row r="54" spans="1:12" x14ac:dyDescent="0.3">
      <c r="A54" s="1" t="s">
        <v>94</v>
      </c>
      <c r="B54" s="3">
        <v>45191</v>
      </c>
      <c r="C54" s="1" t="s">
        <v>38</v>
      </c>
      <c r="D54" s="1" t="s">
        <v>14</v>
      </c>
      <c r="E54" s="1" t="s">
        <v>25</v>
      </c>
      <c r="F54" s="1" t="s">
        <v>52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1" t="s">
        <v>17</v>
      </c>
    </row>
    <row r="55" spans="1:12" x14ac:dyDescent="0.3">
      <c r="A55" s="1" t="s">
        <v>95</v>
      </c>
      <c r="B55" s="3">
        <v>45272</v>
      </c>
      <c r="C55" s="1" t="s">
        <v>44</v>
      </c>
      <c r="D55" s="1" t="s">
        <v>14</v>
      </c>
      <c r="E55" s="1" t="s">
        <v>21</v>
      </c>
      <c r="F55" s="1" t="s">
        <v>48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1" t="s">
        <v>30</v>
      </c>
    </row>
    <row r="56" spans="1:12" x14ac:dyDescent="0.3">
      <c r="A56" s="1" t="s">
        <v>96</v>
      </c>
      <c r="B56" s="3">
        <v>44979</v>
      </c>
      <c r="C56" s="1" t="s">
        <v>90</v>
      </c>
      <c r="D56" s="1" t="s">
        <v>42</v>
      </c>
      <c r="E56" s="1" t="s">
        <v>25</v>
      </c>
      <c r="F56" s="1" t="s">
        <v>26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1" t="s">
        <v>30</v>
      </c>
    </row>
    <row r="57" spans="1:12" x14ac:dyDescent="0.3">
      <c r="A57" s="1" t="s">
        <v>97</v>
      </c>
      <c r="B57" s="3">
        <v>45266</v>
      </c>
      <c r="C57" s="1" t="s">
        <v>33</v>
      </c>
      <c r="D57" s="1" t="s">
        <v>39</v>
      </c>
      <c r="E57" s="1" t="s">
        <v>21</v>
      </c>
      <c r="F57" s="1" t="s">
        <v>45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1" t="s">
        <v>23</v>
      </c>
    </row>
    <row r="58" spans="1:12" x14ac:dyDescent="0.3">
      <c r="A58" s="1" t="s">
        <v>98</v>
      </c>
      <c r="B58" s="3">
        <v>45018</v>
      </c>
      <c r="C58" s="1" t="s">
        <v>38</v>
      </c>
      <c r="D58" s="1" t="s">
        <v>20</v>
      </c>
      <c r="E58" s="1" t="s">
        <v>21</v>
      </c>
      <c r="F58" s="1" t="s">
        <v>22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1" t="s">
        <v>30</v>
      </c>
    </row>
    <row r="59" spans="1:12" x14ac:dyDescent="0.3">
      <c r="A59" s="1" t="s">
        <v>99</v>
      </c>
      <c r="B59" s="3">
        <v>45190</v>
      </c>
      <c r="C59" s="1" t="s">
        <v>13</v>
      </c>
      <c r="D59" s="1" t="s">
        <v>39</v>
      </c>
      <c r="E59" s="1" t="s">
        <v>25</v>
      </c>
      <c r="F59" s="1" t="s">
        <v>55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1" t="s">
        <v>23</v>
      </c>
    </row>
    <row r="60" spans="1:12" x14ac:dyDescent="0.3">
      <c r="A60" s="1" t="s">
        <v>100</v>
      </c>
      <c r="B60" s="3">
        <v>44961</v>
      </c>
      <c r="C60" s="1" t="s">
        <v>33</v>
      </c>
      <c r="D60" s="1" t="s">
        <v>20</v>
      </c>
      <c r="E60" s="1" t="s">
        <v>25</v>
      </c>
      <c r="F60" s="1" t="s">
        <v>26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1" t="s">
        <v>34</v>
      </c>
    </row>
    <row r="61" spans="1:12" x14ac:dyDescent="0.3">
      <c r="A61" s="1" t="s">
        <v>101</v>
      </c>
      <c r="B61" s="3">
        <v>45132</v>
      </c>
      <c r="C61" s="1" t="s">
        <v>38</v>
      </c>
      <c r="D61" s="1" t="s">
        <v>20</v>
      </c>
      <c r="E61" s="1" t="s">
        <v>25</v>
      </c>
      <c r="F61" s="1" t="s">
        <v>52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1" t="s">
        <v>30</v>
      </c>
    </row>
    <row r="62" spans="1:12" x14ac:dyDescent="0.3">
      <c r="A62" s="1" t="s">
        <v>102</v>
      </c>
      <c r="B62" s="3">
        <v>45007</v>
      </c>
      <c r="C62" s="1" t="s">
        <v>28</v>
      </c>
      <c r="D62" s="1" t="s">
        <v>39</v>
      </c>
      <c r="E62" s="1" t="s">
        <v>21</v>
      </c>
      <c r="F62" s="1" t="s">
        <v>48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1" t="s">
        <v>23</v>
      </c>
    </row>
    <row r="63" spans="1:12" x14ac:dyDescent="0.3">
      <c r="A63" s="1" t="s">
        <v>103</v>
      </c>
      <c r="B63" s="3">
        <v>44976</v>
      </c>
      <c r="C63" s="1" t="s">
        <v>44</v>
      </c>
      <c r="D63" s="1" t="s">
        <v>42</v>
      </c>
      <c r="E63" s="1" t="s">
        <v>21</v>
      </c>
      <c r="F63" s="1" t="s">
        <v>22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1" t="s">
        <v>34</v>
      </c>
    </row>
    <row r="64" spans="1:12" x14ac:dyDescent="0.3">
      <c r="A64" s="1" t="s">
        <v>104</v>
      </c>
      <c r="B64" s="3">
        <v>45286</v>
      </c>
      <c r="C64" s="1" t="s">
        <v>13</v>
      </c>
      <c r="D64" s="1" t="s">
        <v>20</v>
      </c>
      <c r="E64" s="1" t="s">
        <v>25</v>
      </c>
      <c r="F64" s="1" t="s">
        <v>55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1" t="s">
        <v>34</v>
      </c>
    </row>
    <row r="65" spans="1:12" x14ac:dyDescent="0.3">
      <c r="A65" s="1" t="s">
        <v>105</v>
      </c>
      <c r="B65" s="3">
        <v>44928</v>
      </c>
      <c r="C65" s="1" t="s">
        <v>19</v>
      </c>
      <c r="D65" s="1" t="s">
        <v>39</v>
      </c>
      <c r="E65" s="1" t="s">
        <v>21</v>
      </c>
      <c r="F65" s="1" t="s">
        <v>48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1" t="s">
        <v>34</v>
      </c>
    </row>
    <row r="66" spans="1:12" x14ac:dyDescent="0.3">
      <c r="A66" s="1" t="s">
        <v>106</v>
      </c>
      <c r="B66" s="3">
        <v>44980</v>
      </c>
      <c r="C66" s="1" t="s">
        <v>28</v>
      </c>
      <c r="D66" s="1" t="s">
        <v>20</v>
      </c>
      <c r="E66" s="1" t="s">
        <v>21</v>
      </c>
      <c r="F66" s="1" t="s">
        <v>22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1" t="s">
        <v>34</v>
      </c>
    </row>
    <row r="67" spans="1:12" x14ac:dyDescent="0.3">
      <c r="A67" s="1" t="s">
        <v>107</v>
      </c>
      <c r="B67" s="3">
        <v>45032</v>
      </c>
      <c r="C67" s="1" t="s">
        <v>44</v>
      </c>
      <c r="D67" s="1" t="s">
        <v>42</v>
      </c>
      <c r="E67" s="1" t="s">
        <v>21</v>
      </c>
      <c r="F67" s="1" t="s">
        <v>45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1" t="s">
        <v>30</v>
      </c>
    </row>
    <row r="68" spans="1:12" x14ac:dyDescent="0.3">
      <c r="A68" s="1" t="s">
        <v>108</v>
      </c>
      <c r="B68" s="3">
        <v>45186</v>
      </c>
      <c r="C68" s="1" t="s">
        <v>13</v>
      </c>
      <c r="D68" s="1" t="s">
        <v>20</v>
      </c>
      <c r="E68" s="1" t="s">
        <v>15</v>
      </c>
      <c r="F68" s="1" t="s">
        <v>40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1" t="s">
        <v>34</v>
      </c>
    </row>
    <row r="69" spans="1:12" x14ac:dyDescent="0.3">
      <c r="A69" s="1" t="s">
        <v>109</v>
      </c>
      <c r="B69" s="3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34</v>
      </c>
    </row>
    <row r="70" spans="1:12" x14ac:dyDescent="0.3">
      <c r="A70" s="1" t="s">
        <v>110</v>
      </c>
      <c r="B70" s="3">
        <v>45117</v>
      </c>
      <c r="C70" s="1" t="s">
        <v>59</v>
      </c>
      <c r="D70" s="1" t="s">
        <v>20</v>
      </c>
      <c r="E70" s="1" t="s">
        <v>21</v>
      </c>
      <c r="F70" s="1" t="s">
        <v>22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1" t="s">
        <v>23</v>
      </c>
    </row>
    <row r="71" spans="1:12" x14ac:dyDescent="0.3">
      <c r="A71" s="1" t="s">
        <v>111</v>
      </c>
      <c r="B71" s="3">
        <v>45144</v>
      </c>
      <c r="C71" s="1" t="s">
        <v>44</v>
      </c>
      <c r="D71" s="1" t="s">
        <v>14</v>
      </c>
      <c r="E71" s="1" t="s">
        <v>21</v>
      </c>
      <c r="F71" s="1" t="s">
        <v>48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1" t="s">
        <v>30</v>
      </c>
    </row>
    <row r="72" spans="1:12" x14ac:dyDescent="0.3">
      <c r="A72" s="1" t="s">
        <v>112</v>
      </c>
      <c r="B72" s="3">
        <v>44970</v>
      </c>
      <c r="C72" s="1" t="s">
        <v>33</v>
      </c>
      <c r="D72" s="1" t="s">
        <v>20</v>
      </c>
      <c r="E72" s="1" t="s">
        <v>25</v>
      </c>
      <c r="F72" s="1" t="s">
        <v>52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1" t="s">
        <v>17</v>
      </c>
    </row>
    <row r="73" spans="1:12" x14ac:dyDescent="0.3">
      <c r="A73" s="1" t="s">
        <v>113</v>
      </c>
      <c r="B73" s="3">
        <v>45088</v>
      </c>
      <c r="C73" s="1" t="s">
        <v>90</v>
      </c>
      <c r="D73" s="1" t="s">
        <v>20</v>
      </c>
      <c r="E73" s="1" t="s">
        <v>15</v>
      </c>
      <c r="F73" s="1" t="s">
        <v>40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1" t="s">
        <v>23</v>
      </c>
    </row>
    <row r="74" spans="1:12" x14ac:dyDescent="0.3">
      <c r="A74" s="1" t="s">
        <v>114</v>
      </c>
      <c r="B74" s="3">
        <v>45128</v>
      </c>
      <c r="C74" s="1" t="s">
        <v>28</v>
      </c>
      <c r="D74" s="1" t="s">
        <v>20</v>
      </c>
      <c r="E74" s="1" t="s">
        <v>25</v>
      </c>
      <c r="F74" s="1" t="s">
        <v>52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1" t="s">
        <v>34</v>
      </c>
    </row>
    <row r="75" spans="1:12" x14ac:dyDescent="0.3">
      <c r="A75" s="1" t="s">
        <v>115</v>
      </c>
      <c r="B75" s="3">
        <v>45196</v>
      </c>
      <c r="C75" s="1" t="s">
        <v>36</v>
      </c>
      <c r="D75" s="1" t="s">
        <v>39</v>
      </c>
      <c r="E75" s="1" t="s">
        <v>25</v>
      </c>
      <c r="F75" s="1" t="s">
        <v>55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1" t="s">
        <v>34</v>
      </c>
    </row>
    <row r="76" spans="1:12" x14ac:dyDescent="0.3">
      <c r="A76" s="1" t="s">
        <v>116</v>
      </c>
      <c r="B76" s="3">
        <v>45277</v>
      </c>
      <c r="C76" s="1" t="s">
        <v>90</v>
      </c>
      <c r="D76" s="1" t="s">
        <v>20</v>
      </c>
      <c r="E76" s="1" t="s">
        <v>21</v>
      </c>
      <c r="F76" s="1" t="s">
        <v>48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1" t="s">
        <v>34</v>
      </c>
    </row>
    <row r="77" spans="1:12" x14ac:dyDescent="0.3">
      <c r="A77" s="1" t="s">
        <v>117</v>
      </c>
      <c r="B77" s="3">
        <v>45230</v>
      </c>
      <c r="C77" s="1" t="s">
        <v>59</v>
      </c>
      <c r="D77" s="1" t="s">
        <v>42</v>
      </c>
      <c r="E77" s="1" t="s">
        <v>15</v>
      </c>
      <c r="F77" s="1" t="s">
        <v>16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1" t="s">
        <v>17</v>
      </c>
    </row>
    <row r="78" spans="1:12" x14ac:dyDescent="0.3">
      <c r="A78" s="1" t="s">
        <v>118</v>
      </c>
      <c r="B78" s="3">
        <v>45197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1" t="s">
        <v>30</v>
      </c>
    </row>
    <row r="79" spans="1:12" x14ac:dyDescent="0.3">
      <c r="A79" s="1" t="s">
        <v>119</v>
      </c>
      <c r="B79" s="3">
        <v>45141</v>
      </c>
      <c r="C79" s="1" t="s">
        <v>28</v>
      </c>
      <c r="D79" s="1" t="s">
        <v>14</v>
      </c>
      <c r="E79" s="1" t="s">
        <v>21</v>
      </c>
      <c r="F79" s="1" t="s">
        <v>22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1" t="s">
        <v>23</v>
      </c>
    </row>
    <row r="80" spans="1:12" x14ac:dyDescent="0.3">
      <c r="A80" s="1" t="s">
        <v>120</v>
      </c>
      <c r="B80" s="3">
        <v>45178</v>
      </c>
      <c r="C80" s="1" t="s">
        <v>59</v>
      </c>
      <c r="D80" s="1" t="s">
        <v>14</v>
      </c>
      <c r="E80" s="1" t="s">
        <v>25</v>
      </c>
      <c r="F80" s="1" t="s">
        <v>52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1" t="s">
        <v>17</v>
      </c>
    </row>
    <row r="81" spans="1:12" x14ac:dyDescent="0.3">
      <c r="A81" s="1" t="s">
        <v>121</v>
      </c>
      <c r="B81" s="3">
        <v>45116</v>
      </c>
      <c r="C81" s="1" t="s">
        <v>90</v>
      </c>
      <c r="D81" s="1" t="s">
        <v>42</v>
      </c>
      <c r="E81" s="1" t="s">
        <v>15</v>
      </c>
      <c r="F81" s="1" t="s">
        <v>29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1" t="s">
        <v>30</v>
      </c>
    </row>
    <row r="82" spans="1:12" x14ac:dyDescent="0.3">
      <c r="A82" s="1" t="s">
        <v>122</v>
      </c>
      <c r="B82" s="3">
        <v>45222</v>
      </c>
      <c r="C82" s="1" t="s">
        <v>59</v>
      </c>
      <c r="D82" s="1" t="s">
        <v>14</v>
      </c>
      <c r="E82" s="1" t="s">
        <v>15</v>
      </c>
      <c r="F82" s="1" t="s">
        <v>16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1" t="s">
        <v>34</v>
      </c>
    </row>
    <row r="83" spans="1:12" x14ac:dyDescent="0.3">
      <c r="A83" s="1" t="s">
        <v>123</v>
      </c>
      <c r="B83" s="3">
        <v>45139</v>
      </c>
      <c r="C83" s="1" t="s">
        <v>33</v>
      </c>
      <c r="D83" s="1" t="s">
        <v>14</v>
      </c>
      <c r="E83" s="1" t="s">
        <v>21</v>
      </c>
      <c r="F83" s="1" t="s">
        <v>48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1" t="s">
        <v>23</v>
      </c>
    </row>
    <row r="84" spans="1:12" x14ac:dyDescent="0.3">
      <c r="A84" s="1" t="s">
        <v>124</v>
      </c>
      <c r="B84" s="3">
        <v>45134</v>
      </c>
      <c r="C84" s="1" t="s">
        <v>38</v>
      </c>
      <c r="D84" s="1" t="s">
        <v>42</v>
      </c>
      <c r="E84" s="1" t="s">
        <v>15</v>
      </c>
      <c r="F84" s="1" t="s">
        <v>16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1" t="s">
        <v>17</v>
      </c>
    </row>
    <row r="85" spans="1:12" x14ac:dyDescent="0.3">
      <c r="A85" s="1" t="s">
        <v>125</v>
      </c>
      <c r="B85" s="3">
        <v>45163</v>
      </c>
      <c r="C85" s="1" t="s">
        <v>28</v>
      </c>
      <c r="D85" s="1" t="s">
        <v>20</v>
      </c>
      <c r="E85" s="1" t="s">
        <v>21</v>
      </c>
      <c r="F85" s="1" t="s">
        <v>48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1" t="s">
        <v>34</v>
      </c>
    </row>
    <row r="86" spans="1:12" x14ac:dyDescent="0.3">
      <c r="A86" s="1" t="s">
        <v>126</v>
      </c>
      <c r="B86" s="3">
        <v>45264</v>
      </c>
      <c r="C86" s="1" t="s">
        <v>59</v>
      </c>
      <c r="D86" s="1" t="s">
        <v>42</v>
      </c>
      <c r="E86" s="1" t="s">
        <v>25</v>
      </c>
      <c r="F86" s="1" t="s">
        <v>52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1" t="s">
        <v>30</v>
      </c>
    </row>
    <row r="87" spans="1:12" x14ac:dyDescent="0.3">
      <c r="A87" s="1" t="s">
        <v>127</v>
      </c>
      <c r="B87" s="3">
        <v>44979</v>
      </c>
      <c r="C87" s="1" t="s">
        <v>33</v>
      </c>
      <c r="D87" s="1" t="s">
        <v>20</v>
      </c>
      <c r="E87" s="1" t="s">
        <v>15</v>
      </c>
      <c r="F87" s="1" t="s">
        <v>40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1" t="s">
        <v>30</v>
      </c>
    </row>
    <row r="88" spans="1:12" x14ac:dyDescent="0.3">
      <c r="A88" s="1" t="s">
        <v>128</v>
      </c>
      <c r="B88" s="3">
        <v>45206</v>
      </c>
      <c r="C88" s="1" t="s">
        <v>13</v>
      </c>
      <c r="D88" s="1" t="s">
        <v>14</v>
      </c>
      <c r="E88" s="1" t="s">
        <v>15</v>
      </c>
      <c r="F88" s="1" t="s">
        <v>29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1" t="s">
        <v>23</v>
      </c>
    </row>
    <row r="89" spans="1:12" x14ac:dyDescent="0.3">
      <c r="A89" s="1" t="s">
        <v>129</v>
      </c>
      <c r="B89" s="3">
        <v>45143</v>
      </c>
      <c r="C89" s="1" t="s">
        <v>59</v>
      </c>
      <c r="D89" s="1" t="s">
        <v>42</v>
      </c>
      <c r="E89" s="1" t="s">
        <v>15</v>
      </c>
      <c r="F89" s="1" t="s">
        <v>40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1" t="s">
        <v>30</v>
      </c>
    </row>
    <row r="90" spans="1:12" x14ac:dyDescent="0.3">
      <c r="A90" s="1" t="s">
        <v>130</v>
      </c>
      <c r="B90" s="3">
        <v>45178</v>
      </c>
      <c r="C90" s="1" t="s">
        <v>51</v>
      </c>
      <c r="D90" s="1" t="s">
        <v>14</v>
      </c>
      <c r="E90" s="1" t="s">
        <v>15</v>
      </c>
      <c r="F90" s="1" t="s">
        <v>40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1" t="s">
        <v>34</v>
      </c>
    </row>
    <row r="91" spans="1:12" x14ac:dyDescent="0.3">
      <c r="A91" s="1" t="s">
        <v>131</v>
      </c>
      <c r="B91" s="3">
        <v>45114</v>
      </c>
      <c r="C91" s="1" t="s">
        <v>59</v>
      </c>
      <c r="D91" s="1" t="s">
        <v>14</v>
      </c>
      <c r="E91" s="1" t="s">
        <v>21</v>
      </c>
      <c r="F91" s="1" t="s">
        <v>48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1" t="s">
        <v>17</v>
      </c>
    </row>
    <row r="92" spans="1:12" x14ac:dyDescent="0.3">
      <c r="A92" s="1" t="s">
        <v>132</v>
      </c>
      <c r="B92" s="3">
        <v>44967</v>
      </c>
      <c r="C92" s="1" t="s">
        <v>44</v>
      </c>
      <c r="D92" s="1" t="s">
        <v>39</v>
      </c>
      <c r="E92" s="1" t="s">
        <v>25</v>
      </c>
      <c r="F92" s="1" t="s">
        <v>55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1" t="s">
        <v>34</v>
      </c>
    </row>
    <row r="93" spans="1:12" x14ac:dyDescent="0.3">
      <c r="A93" s="1" t="s">
        <v>133</v>
      </c>
      <c r="B93" s="3">
        <v>45083</v>
      </c>
      <c r="C93" s="1" t="s">
        <v>90</v>
      </c>
      <c r="D93" s="1" t="s">
        <v>42</v>
      </c>
      <c r="E93" s="1" t="s">
        <v>15</v>
      </c>
      <c r="F93" s="1" t="s">
        <v>29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1" t="s">
        <v>23</v>
      </c>
    </row>
    <row r="94" spans="1:12" x14ac:dyDescent="0.3">
      <c r="A94" s="1" t="s">
        <v>134</v>
      </c>
      <c r="B94" s="3">
        <v>44941</v>
      </c>
      <c r="C94" s="1" t="s">
        <v>59</v>
      </c>
      <c r="D94" s="1" t="s">
        <v>14</v>
      </c>
      <c r="E94" s="1" t="s">
        <v>21</v>
      </c>
      <c r="F94" s="1" t="s">
        <v>48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1" t="s">
        <v>30</v>
      </c>
    </row>
    <row r="95" spans="1:12" x14ac:dyDescent="0.3">
      <c r="A95" s="1" t="s">
        <v>135</v>
      </c>
      <c r="B95" s="3">
        <v>45227</v>
      </c>
      <c r="C95" s="1" t="s">
        <v>59</v>
      </c>
      <c r="D95" s="1" t="s">
        <v>14</v>
      </c>
      <c r="E95" s="1" t="s">
        <v>25</v>
      </c>
      <c r="F95" s="1" t="s">
        <v>26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1" t="s">
        <v>17</v>
      </c>
    </row>
    <row r="96" spans="1:12" x14ac:dyDescent="0.3">
      <c r="A96" s="1" t="s">
        <v>136</v>
      </c>
      <c r="B96" s="3">
        <v>44991</v>
      </c>
      <c r="C96" s="1" t="s">
        <v>13</v>
      </c>
      <c r="D96" s="1" t="s">
        <v>39</v>
      </c>
      <c r="E96" s="1" t="s">
        <v>15</v>
      </c>
      <c r="F96" s="1" t="s">
        <v>40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1" t="s">
        <v>17</v>
      </c>
    </row>
    <row r="97" spans="1:12" x14ac:dyDescent="0.3">
      <c r="A97" s="1" t="s">
        <v>137</v>
      </c>
      <c r="B97" s="3">
        <v>45271</v>
      </c>
      <c r="C97" s="1" t="s">
        <v>59</v>
      </c>
      <c r="D97" s="1" t="s">
        <v>20</v>
      </c>
      <c r="E97" s="1" t="s">
        <v>25</v>
      </c>
      <c r="F97" s="1" t="s">
        <v>52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1" t="s">
        <v>34</v>
      </c>
    </row>
    <row r="98" spans="1:12" x14ac:dyDescent="0.3">
      <c r="A98" s="1" t="s">
        <v>138</v>
      </c>
      <c r="B98" s="3">
        <v>45253</v>
      </c>
      <c r="C98" s="1" t="s">
        <v>28</v>
      </c>
      <c r="D98" s="1" t="s">
        <v>14</v>
      </c>
      <c r="E98" s="1" t="s">
        <v>25</v>
      </c>
      <c r="F98" s="1" t="s">
        <v>52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1" t="s">
        <v>30</v>
      </c>
    </row>
    <row r="99" spans="1:12" x14ac:dyDescent="0.3">
      <c r="A99" s="1" t="s">
        <v>139</v>
      </c>
      <c r="B99" s="3">
        <v>44935</v>
      </c>
      <c r="C99" s="1" t="s">
        <v>44</v>
      </c>
      <c r="D99" s="1" t="s">
        <v>20</v>
      </c>
      <c r="E99" s="1" t="s">
        <v>25</v>
      </c>
      <c r="F99" s="1" t="s">
        <v>55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1" t="s">
        <v>17</v>
      </c>
    </row>
    <row r="100" spans="1:12" x14ac:dyDescent="0.3">
      <c r="A100" s="1" t="s">
        <v>140</v>
      </c>
      <c r="B100" s="3">
        <v>45270</v>
      </c>
      <c r="C100" s="1" t="s">
        <v>59</v>
      </c>
      <c r="D100" s="1" t="s">
        <v>39</v>
      </c>
      <c r="E100" s="1" t="s">
        <v>15</v>
      </c>
      <c r="F100" s="1" t="s">
        <v>29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1" t="s">
        <v>17</v>
      </c>
    </row>
    <row r="101" spans="1:12" x14ac:dyDescent="0.3">
      <c r="A101" s="1" t="s">
        <v>141</v>
      </c>
      <c r="B101" s="3">
        <v>45055</v>
      </c>
      <c r="C101" s="1" t="s">
        <v>36</v>
      </c>
      <c r="D101" s="1" t="s">
        <v>20</v>
      </c>
      <c r="E101" s="1" t="s">
        <v>15</v>
      </c>
      <c r="F101" s="1" t="s">
        <v>16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1" t="s">
        <v>17</v>
      </c>
    </row>
  </sheetData>
  <mergeCells count="3">
    <mergeCell ref="N4:R4"/>
    <mergeCell ref="N23:R23"/>
    <mergeCell ref="N35:R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2026-03-11T06:56:53Z</dcterms:created>
  <dcterms:modified xsi:type="dcterms:W3CDTF">2026-03-11T09:14:35Z</dcterms:modified>
</cp:coreProperties>
</file>